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C:\Users\162627\OneDrive - TCS COM PROD\Shankar@M&amp;S\Peak\"/>
    </mc:Choice>
  </mc:AlternateContent>
  <xr:revisionPtr revIDLastSave="0" documentId="8_{026FBCC9-65B2-4A7D-9B61-BEAA57D8671A}" xr6:coauthVersionLast="47" xr6:coauthVersionMax="47" xr10:uidLastSave="{00000000-0000-0000-0000-000000000000}"/>
  <bookViews>
    <workbookView xWindow="-120" yWindow="-120" windowWidth="20730" windowHeight="11040" xr2:uid="{708BCAC2-59F7-40E1-A4C0-4EE358F2AF93}"/>
  </bookViews>
  <sheets>
    <sheet name="P1-P2" sheetId="2" r:id="rId1"/>
  </sheets>
  <externalReferences>
    <externalReference r:id="rId2"/>
  </externalReferences>
  <definedNames>
    <definedName name="_xlnm._FilterDatabase" localSheetId="0" hidden="1">'P1-P2'!$A$1:$U$192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0" i="2" l="1"/>
  <c r="I81" i="2"/>
  <c r="I82" i="2"/>
  <c r="I83" i="2"/>
  <c r="I84" i="2"/>
  <c r="I85" i="2"/>
  <c r="I86" i="2"/>
  <c r="I87" i="2"/>
  <c r="I88" i="2"/>
  <c r="I89" i="2"/>
  <c r="I90" i="2"/>
  <c r="I91"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Kavitha Yuvaraj</author>
    <author/>
  </authors>
  <commentList>
    <comment ref="L1" authorId="0" shapeId="0" xr:uid="{41D809A6-46B8-41DA-9A7D-EE67C541FA8B}">
      <text>
        <r>
          <rPr>
            <b/>
            <sz val="9"/>
            <color indexed="81"/>
            <rFont val="Tahoma"/>
            <family val="2"/>
          </rPr>
          <t xml:space="preserve">Resolved time is when the incident is marked as resolved after a period of monitoring if any </t>
        </r>
      </text>
    </comment>
    <comment ref="A19" authorId="1" shapeId="0" xr:uid="{561DE48F-5099-4E56-BD67-21E00FF776DA}">
      <text>
        <r>
          <rPr>
            <sz val="10"/>
            <color rgb="FF000000"/>
            <rFont val="Aptos Narrow"/>
            <family val="2"/>
            <scheme val="minor"/>
          </rPr>
          <t>not an incident, should not be logged here!
	-Bunmi Babarinde
----
Should not be logged here as it is not an incident!
	-Bunmi Babarinde
----
Why is this logged here? this is not an incident
	-Bunmi Babarinde</t>
        </r>
      </text>
    </comment>
  </commentList>
</comments>
</file>

<file path=xl/sharedStrings.xml><?xml version="1.0" encoding="utf-8"?>
<sst xmlns="http://schemas.openxmlformats.org/spreadsheetml/2006/main" count="2480" uniqueCount="1165">
  <si>
    <t>Incident Reference</t>
  </si>
  <si>
    <t>Remedy Incident Reference</t>
  </si>
  <si>
    <t>Incident Reported Date</t>
  </si>
  <si>
    <t>Incident Reported Time</t>
  </si>
  <si>
    <t>Incident Description</t>
  </si>
  <si>
    <t>Priority</t>
  </si>
  <si>
    <t>Status</t>
  </si>
  <si>
    <t>Programmatic theme impacted</t>
  </si>
  <si>
    <t>Portfolio Impacted</t>
  </si>
  <si>
    <t>Business Impact</t>
  </si>
  <si>
    <t>Latest Update/Actions</t>
  </si>
  <si>
    <t>Resolved Date + Time</t>
  </si>
  <si>
    <t>Current Responsible Resolver Group</t>
  </si>
  <si>
    <t>Resolved by -
Change Ref</t>
  </si>
  <si>
    <t>Reported by -
Channel/User</t>
  </si>
  <si>
    <t>Recovery / BAU for P1 &amp; P2</t>
  </si>
  <si>
    <t>RCA Details</t>
  </si>
  <si>
    <t>Alerting / Monitoring</t>
  </si>
  <si>
    <t xml:space="preserve">Alerting available preincident </t>
  </si>
  <si>
    <t xml:space="preserve">Alerting enabled post incident ? </t>
  </si>
  <si>
    <t>RCA Category-Upd</t>
  </si>
  <si>
    <t>INC002</t>
  </si>
  <si>
    <t>90 Stores (88 SDWAN and 2 Non SDWAN) - Tills offline to Worldline</t>
  </si>
  <si>
    <t>P1</t>
  </si>
  <si>
    <t>Closed</t>
  </si>
  <si>
    <t>Stores</t>
  </si>
  <si>
    <t>Tills on client bridge were unable to take contactless transactions ( were able to take only chip and pin transactions). On the chip and pin transactions,there was a threshold for number of offline transactions per PED and when the tills reached the threshold , tills were changed to "Cash-only" mode impacting the store operations</t>
  </si>
  <si>
    <t>Change Request has not been raised to fix this issue
Firewall rules for external communication to WL were allowed on VLAN108 and 109 on both firewalls (SDWANHub and Fortinet BP</t>
  </si>
  <si>
    <t>Network</t>
  </si>
  <si>
    <t>Stuart Eames</t>
  </si>
  <si>
    <t>INC004</t>
  </si>
  <si>
    <t>Chester guest WiFi authentication issue</t>
  </si>
  <si>
    <t>P2</t>
  </si>
  <si>
    <t>Foundational Infrastructure</t>
  </si>
  <si>
    <t>Contact Center colleagues experiencing delays in connecting to the Guest Wifi and hence impacting their BAU activites i.e. supporting customer queries</t>
  </si>
  <si>
    <t>27/05 - Corey mentioned that only 2 or 3 users are experiencing issues daily. However, the existing workaround remains effective. He also informed that this will not be treated as a priority as the issue is not widespread - therefore, this is being closed in the tracker.
19/05 - Corey updated that on 17th - there were 2 users reporting issue and today 4/50 - however, workaround is helping. It has been agreed to monitor until 26/05 (next monday) if the workaround is helping and also for a permanent fix, network team is busy with other priorities.
17/05: awaiting response from Corey
16/05: 3 users reporting issue today
15/05: 2 users reported the issue today and the workaround of restarting the device few times worked. Corey Cummings is trying to Laise with Mustafa (Network) to find solution to fix the issue.
14/05 - Corey confirmed issue persists for 6 users this morning but the restarts work, to be picked up based on priority.
12/05 - 1 user reported the issue - however, device restarts fixed the issue. Incident will be put under monitoring.0/05 - 1 out of 9 users had problems this morning and had to reboot their laptop multiple times to connect to the Guest Wifi.
09/05 - 3 or 4 users have had issues this morning but not a major impact. After rebooting their laptops couple of times, they were able to connect successfully</t>
  </si>
  <si>
    <t>Auto Resolved</t>
  </si>
  <si>
    <t>Corey Cummings</t>
  </si>
  <si>
    <t>INC008</t>
  </si>
  <si>
    <t>⁠49 NON- SDWAN stores unable to login to workstations</t>
  </si>
  <si>
    <t>Non SDWAN stores unable to print Shelf Edge Labels and unable to access Store Application Launcher</t>
  </si>
  <si>
    <t>CHG26 - form has not been filled in
13/05 20:00 Mayank confirmed that the switch ACL needs to be finetuned . Valli to re-prioritize this issue tomorrow so that Network team continue to troubleshoot on this issue.
12/05 notes: Observation : ACL on Store Core switch was dropping traffic
Workaround : Pushed updated ACL to test stores and LDAP started working
12/05-Unable to access POS application from Non-SDWAN Stores &gt;&gt; Mayank Parekh verifying the logs and troubleshooting
11/05 - ACL Changes has been applied to all the Non-SDWAN stores (except s1496 - WHS Rudes Jersey) because the site is down and couldn’t console into core switch. No issues reported with non-SDWAN store1
1/05 1737 - Saloni - *Several non-SD-WAN stores are reportedly unable to log in to the Workstation. This issue remains unresolved as it was not addressed today and requires investigation first thing tomorrow.
Farooz - 1005 20:52 Non-SDWAN stores reported issue with Workstation and SAL application not working Observation : ACL on Store Core switch was droppuing traffic Workaround : Pushed updated ACL to test stroes and LDAP started working , Bala/Pothiraj is working on applying the updated ACL to rest of the non-SDWAN stores tonight
10/05 17:00 Non SDWAN stores not able to login to their workstations. Perth Store is not able to login to workstation
09/05 - Approved received from Infosec and change completed by Mustafa from Network team</t>
  </si>
  <si>
    <t>CHG26</t>
  </si>
  <si>
    <t>Valliammai Ramasamy</t>
  </si>
  <si>
    <t>INC012</t>
  </si>
  <si>
    <t>SD WAN Stores unable to login to their workstations</t>
  </si>
  <si>
    <t>Impacting POS backoffice accessibility and ECS ticket printing abilities. As a workaround, stores used a different way to print. However this is a tedious manual task.</t>
  </si>
  <si>
    <t>15/05 - Validations confirmed that stores are able to log in as expected
14/05 - The idea is to test with 3 stores (Gemini for digital cafe &amp; Prescot, Dartford for outlook and clock) from 11:00. Once confirmed, this will be rolled out globally after confirming to change management. ETA of global roll out is 8 hours. If any issues, roll back plan is there to disable the rules.
10/05 - Stores reported issues with login to workstations, unable to access SAL and Outlook
17:00 SDWAN stores are able to login to the workstation, access SAL but not able to access Outlook
10/05 - Fix to resolve the WKS access issue :
Observation : Swindon Domain controller traffic was dropping at Swindon SRX due to assymetric routing
Workaround : Disabled TCP Sync Check and sequence number check on LDAP traffic after which LDAP communication started working
Fix on 07/05 - The store workstation login issues for SD WAN stores was fixed on Wednesday, 07/05 by allowing the Microsoft RPC ports into the Juniper Firewall. Non SDWAN stores were fixed on Friday, 09/05</t>
  </si>
  <si>
    <t>INC013</t>
  </si>
  <si>
    <t>Non-resilient Digital cafés (9) are down snce 16:23hrs</t>
  </si>
  <si>
    <t>All the 9 non resilient digital cafes are down. Hidden till is being used as a workaround. Inconvenience to colleagues and customers.</t>
  </si>
  <si>
    <t>15/05: All Digital Cafe Stores are working as expected. The fix applied as part of the fix rolled out on 14/05 has worked.
14/05: 22:00 Fix was tested in Gemini store and issues were getting fixed. However Issues observed when pushing the fix via SDWAN hub for Digital cafes. Hence a decision to be taken tomorrow on how to push the fix for the remaining 8 Digital Cafes
10:30 - CAB approval completed and planned to proceed with the change today.
13/05
22:00 - Mayank confirmed that InfoSec has agreed to make the firewall changes. The change is submitted for CAB tomorrow and post CAB approval on 14th 10:00 AM
13:30 - Leon (LCS) had spoken with one of the team member of Simon H - and confirmed that there is no DA (design authority) approval required for the fix forward. Currently the fix, is pending with infosec approval .
07:00 - Richard Wright-Wells and Simon Hockaday to agree on a new design. Once agreed, we will test one pilot test tomorrow. Upon success, change to be approved by Simon Painter through CAB and Infosec for global rollout.
12/05 - Trial-and-error testing conducted throughout the day on various QSR URLs. Focused on issues related to DigiCert certificates. Despite whitelisting the URLs in Fortinet policy, the dynamic nature of certificates is causing the issue. Conclusion: Requires a broader design-level change to ensure proper traffic flow to kitchen servers.</t>
  </si>
  <si>
    <t>Paul Dasan Cutting</t>
  </si>
  <si>
    <t>INC014</t>
  </si>
  <si>
    <t>Capita and Chester contact centers unable to access WCS</t>
  </si>
  <si>
    <t>Online</t>
  </si>
  <si>
    <t>Preventing Contact center colleagues to address customer issues via WCS</t>
  </si>
  <si>
    <t>The Fix has been applied on the same day to mitigate the impact, however we need cyber sec approval and CR number to retrofit the changes. - POC: Adam Davies
"Chester: Issue resolved by bypassing one of the URLs via Zscaler. Infosec approval obtained. Bypass applied across all WCS domains at Chester. No further issues.
• Capita: Issue limited to a few team leads using Forcepoint VPN. Advised affected users to contact Capita IT. Out of M&amp;S scope."</t>
  </si>
  <si>
    <t>TBD</t>
  </si>
  <si>
    <t>Chris Harrison</t>
  </si>
  <si>
    <t>INC015</t>
  </si>
  <si>
    <t>POS application inaccessible at Stockley Park Machine Hall 2</t>
  </si>
  <si>
    <t>POS colleagues unable to access Azure from Machine Hall 2.
• No business impact as POS is functional outside the hall."</t>
  </si>
  <si>
    <t>A firewall rule change was applied to fix the access issue with the infosec approval</t>
  </si>
  <si>
    <t>INC016</t>
  </si>
  <si>
    <t>Problematic 2 external DNS subdomains - MINDERA</t>
  </si>
  <si>
    <t>Potential security threat to operations</t>
  </si>
  <si>
    <t>"14/05
20:00 -CAB approved, Cname deletion completed by DNS team by 17:45.
15:30 BST - CHG 41 - Removal of Sparks pay cname rom DNS entry - 3.30 - 4.30 PM - Pending for CAB approval SAL's confirmation is pending.
14/05 - CHG41 submitted for CAB
13/05 17:30 BST - Sandhya Radhakrishnan needs the change form to be filled in with implementation plan. Kavitha Shankar and Sangeetha Vijayamanickam to request for the change form from changemanagement@marks1884.com. To be checked Thanigai will be able to send email to this email id.
13/05 - Out of the two subdomains (powered by Mindera )- One of it was a non-prod subdomain (*.service.sparkspay.sit2 ) - Which was deleted to address the threat, the created URL's due to the issue is being deleted from the system by the infosec team (ETA: 2-3 days) . To completely resolve the issue.
The other Subdomain (*.service.sparkspay ) - Impact assessment completed, we do not anticipate major impact due to the issue. Sandhya is expected to raise a change to delete the PROD subdomain</t>
  </si>
  <si>
    <t>Active Directory</t>
  </si>
  <si>
    <t>CHG41</t>
  </si>
  <si>
    <t>Tony Hogg</t>
  </si>
  <si>
    <t>INC018</t>
  </si>
  <si>
    <t>Contact centers unable to access M&amp;S Customer identity and Verification system</t>
  </si>
  <si>
    <t>Contact center colleagues will be unable to verify the legitimacy of the customer who calls them</t>
  </si>
  <si>
    <t>The issue was triggered due to the WCS password reset activity overnight CHG9 (12/05) where the service account credentials required for authorization was failing as the credentials were re-set. To fix the issue, contact center admin had to re-authorize the credentials via Zendesk tool, to get the service account working.</t>
  </si>
  <si>
    <t>Contact Centre</t>
  </si>
  <si>
    <t>INC019</t>
  </si>
  <si>
    <t>Time Clocks inaccessible at SD WAN stores</t>
  </si>
  <si>
    <t>Timesheet Clock not syncing and working. This could potentially impact payroll processing for store colleagues.</t>
  </si>
  <si>
    <t>03/06: The team have confirmed that the below stores are now active (up &amp; running) with no issues.
0283 - Navan , 0418 - Village Douglas Cork SF , 0243 - Clonmel , 4213 - Letterkenny , 3955 - Liffey Valley Dublin, 7362 - Dundrum
02/06: 5 Stores are still an issue. MIM team awaiting updates from Alex Fergus
01/06 0846 - same status 5 stores to be fixed, MIM team to follow up with Kirsten.
29/05 - Still 5 more stores to be fixed
27/05 - Received confirmation from Kirsten that the issue has been fixed in 4 stores today. RIT team is working on the remaining 6 stores
24/05 - Will sync up with Kirsten on Tuesday for the latest update on the remaining 10 stores
22/05 - 17:45: Out of 18 stores, 8 are functioning now. Awaiting update on the remaining 10 stores
21/05: Awaiting updates from Kirsten and team to identify the device status for the pending 18 stores post RIT engineer visit to the stores.
Time clocks at SDWAN stores - 18 stores are still pending engineer visit, we are awaiting updates from RIT by tomorrow
20/05 - On Hold pending engineer visit. Update expected tomorrow (21/05)
17/05: 09:30 - Spoke to Feddin and Mudassar and understood that engg visit is not in priority list of Kirsten as there is a workaround of details obtained from store managers. Hence, ETA for engg visit is by Monday (19/05)
16/05: Out of the 931 SDWAN stores: 728 UK Mainchain stores is under scope (fix is not applicable for the franchise stores) .
FIX: Fix rolled-out to 722 stores (728), 6 stores (6 stores - 3 are closed, 3 non SDWAN)
- With the 722 fix applied - 27 Stores reported issues in 15/05, 9 stores fix re-implemented and got fixed.
Pending 18 stores (3 Broken Hw +15 requires eng. visit) - needs further investigation and way forward.
15/05: Fix has been rolled out for 722 out of 728 on 14/05, 6 stores are either hard down or closed. There are 18 stores which are not reachable from the network - devices status being validated, remaining 10 stores being investigated by Network team.</t>
  </si>
  <si>
    <t>INC020</t>
  </si>
  <si>
    <t>Microsoft has been blocking password reset email to outlook.com and hotmail</t>
  </si>
  <si>
    <t>Delay in sending the mails to customers as Microsoft is blocking the mail send to gmail and hotmail addresses</t>
  </si>
  <si>
    <t>13/05 22:00 Update from Stella Pantofel - A fix was applied by Salesforce to resolve the issue after which the password reset email gets delivered instantly/Instructions to reset password have been circulated to 26M customers. no new issues reported
13/05 19:00 Have shared the Microsoft escalation matrix to the team over google meet "
Caused by CHG-9</t>
  </si>
  <si>
    <t>Vendor Salesfore</t>
  </si>
  <si>
    <t>Leila Priers</t>
  </si>
  <si>
    <t>INC021</t>
  </si>
  <si>
    <t>SD WAN Stores unable to login to their Outlook on their workstations</t>
  </si>
  <si>
    <t>Unable to print shelf edge labels impacting operations and legal requirements</t>
  </si>
  <si>
    <t>15/0517:00 - No further issues reported. This is being closed. Pending stores are lower priority to be taken care as BAU.
15/05 07:00 - Fix has been rolled out for 765 stores out of 771 ( Main chain and Franchises), 6 stores are either hard down or closed. Store level validations look positive. Monitoring.
02:30 -Outlook issue has to be fixed to all stores - main chain and franchise stores except BP. Connectivity to BP store seem to be blocked possibly due to this cyber incident and need to be further investigated. In total , fix applied to a total of 757 out 771 stores as at 02:00 hrs. Expected change window closure for 4:30 am. Fix to all 26 Apple Green stores and 17 WHSMITH stores (for Workstation issues) completed
14/5:
20:00 - Change deployment in progress. Pilot store testing confirmed to be successful. ETA of completion to be checked with Ayo. Validations to start with Valli tomorrow morning 7am.
10:30 - CAB approval completed and planned to proceed with the change today.
13/05
22:00 - Mayank confirmed that InfoSec has agreed to make the firewall changes. The change is submitted for CAB tomorrow and post approval, they will test the fix on 1 store. Post validations , change to be implemented on all SDWAN stores
17:00 Network team is working on the iiidentifying the solution, one option is to whitelist all the wildcard URLs, other option is to get the URIs from Microsoft and allow them. Stores 2100, 2017 are tested and seems to be working but Network team suspect it could be because of Cache. Tested the option for one store Bracknell, Outlook took more than 2 mins to load and troubleshooting will be continued
13:00 - We are waiting approval from Infosec - To proceed with the fix roll-out to all the impacted stores, after we test the solution on one of the store (ritmock store - Bracknell)
Change needs to be submitted to CAB for deployment across all stores</t>
  </si>
  <si>
    <t>INC023</t>
  </si>
  <si>
    <t>Time Clocks inaccessible at NON SDWAN stores</t>
  </si>
  <si>
    <t>Store colleagues swipe in/out on the Time clocks which then goes to Grovensor and then to T&amp;A in the Blue Yonder world to generate the payroll.</t>
  </si>
  <si>
    <t>CHG 58 and CHG 59
16/05 - 14:00 - All 18 non SDWAN store - 13 UKPOP and 5 MPLS are fixed and online to Grosvenor portal. Remaining non SDWAN stores are out of scope and do not have clocks - Franchise stores.
12:00 CRs approved and change implemented and the Springs Leeds- 0918 (UKPOP is hard down – once the store is up, the fix will be pushed)
15/05 - 22:00 Adam Davies confirmed that the implementation plan has been reviewed and the Infosec Approval /Architect review done. Change is ready to be presented in CAB at 10
17:30 - Adam confirmed that the implementation plan is still being written, Infosec and Network Architect approval is pending, Plan is to present the change in tomorrow's 10am CAB.
13:30 Saurabh &amp; Michele confirmed in the hypercare bridge that there is a potential solution to fix the time clocks for 12 UKPOP stores - this has been taken to the CAB to proceed with deployment. Note: Infosec approval yet to be received.
14/05: 20:00 - Aman Sihota (NW PM) confirmed a dependent config change is required through the perimeter before trigaing the NON SDWAN store issues. Require more updates from Network. Priority to be decided</t>
  </si>
  <si>
    <t>CHG58 &amp; CHG59</t>
  </si>
  <si>
    <t>INC025</t>
  </si>
  <si>
    <t>The stockley park jump server was already down and Swindon jump server is down from 01:00, 15/05</t>
  </si>
  <si>
    <t>Without these jump servers, the network teams' ability to access network devices and implement technical fixes will be severly impacted. This could then slow down further network implementations.</t>
  </si>
  <si>
    <t>15/05
18:30 - Dharma and Praveen worked with Fenix to resolve, fixed the issue at 18:13 , network team confirmed at 18:20 that the issue is resolved.
17:00 - This server need to rejoin to domain and trust need to be established, for which Dharma and Samrat are trying to work with Fenix
12:00 - The SP jump Server was brought up and it is working as expected. We have 2 jump servers in Swindon - 1 is currently being worked upon by the datacentre team - attempted a reboot but the issue persists. Other one at Swindon was decommissioned in the past.
15/05 Stockley Park jump server is up and running. Out of the two Swindon jump servers,one is in triage and the other is decomissioned
15/05 - The SP jump Server were already down. Saurabh informed that at 1am the Swindon went down.</t>
  </si>
  <si>
    <t>Wintel</t>
  </si>
  <si>
    <t>Michele Quatela</t>
  </si>
  <si>
    <t>INC031</t>
  </si>
  <si>
    <t>Following the CHG103 at Milton Keynes - Fix forward implemented to address shared drives and HHT issues - users have started experiencing slowness when saving files and file explorer crashes when attempting to open files from shared drives. These issues have been occurring from 19th May, 16:00</t>
  </si>
  <si>
    <t>Supply Chain</t>
  </si>
  <si>
    <t>This is impacting the colleagues ability to view the warehouse Rota and inbound/outbound trailer planning.</t>
  </si>
  <si>
    <t>21/05 - 13:09 - Darius from Milton Keynes has confirmed that the shared drive issue is fixed and no further issues reported.
Praveen from Datacentre has confirmed an issue with the storage cluster server potentially after a patching activity performed by Fenix - this is yet to be confirmed. Once the cluster servers were rebooted by 12:00, the issue is resolved.
21/05 - Storage team ruled out the storage space issue. Currently trying to relocate the resources within the nodes to validate the performance issue. Next update expected by 11.30am</t>
  </si>
  <si>
    <t>Sakthi Santhosh Nagarathinam</t>
  </si>
  <si>
    <t>INC033</t>
  </si>
  <si>
    <t>Salford Quays 2nd floor Guest Wifi network connectivity issue</t>
  </si>
  <si>
    <t>Colleagues will not able to connect the Guest Wifi impacting the work on Salford Quays. Note: Salina Wifi is already down, hence there is no network connection in Salford Quays</t>
  </si>
  <si>
    <t>22/05 - 07:00 Guest Wifi has been restored and Leon confirmed that he connect to Guest Wifi in Salford Quays. The issue was caused as part of the ongoing AD takeback change CHG63
21/05 - 20:30: The Colleguaes in Salford Quays lost the Guest WiFI network connection once the CHG63 was initiated and its expected resolve once the change is complete, awaiting further updates</t>
  </si>
  <si>
    <t>Leon Noel</t>
  </si>
  <si>
    <t>INC034</t>
  </si>
  <si>
    <t>Self service checkouts not online following AD takeover (where SD WAN is in effect so the majority) and POS Beanstore connectivity issue</t>
  </si>
  <si>
    <t>Checkouts not online -in SD WAN Stores</t>
  </si>
  <si>
    <t>24/05 18:00 - The POS trade nodes were restarted twice and the partition size within POS was upgraded to 180GB to accelerate the message processing and all backlog messages were processed by 17:55. The data extract from POS to BEAM will be sent manually at 20:00 and the usual BAU extract will be sent at 00:00.
Added POS servers into new AD domains - Tills online to POS beanstore from 01:00. Slowness identified processing backlog of sales messages
POS trade servers were restarted twice between 16:00-16:30 to accelerate the processing. All the POS backlog messages have been cleared by 17:55. Approvals obtained from Stuart Eames, Darren Gibson and Retail Ops.
POS sends manual data extract to Beam which it then sends to Relex
24/05 - Tills are back online however, we were seeing issues with the message processing via the SIB queue (around 05:30). POS team had increased the Filesize group and POS clusters were rebooted. Again Around 06:30 - we had issues with the message processing, 3 redundant DB servers were removed from prod and POS clusters were restarted to restore the services by 07:30 . Currently the backlog message procesisng is in-progress - ETA: 10:00
Resolution : All the tills were brought back online at 01:00 (24/05) after the addition of POS servers into the New AD domains.
23/05 - 07:00- Tills ( SCOT/Assited) still continue to be in offline mode as they are not communicating with the (POS server) Bean store central. AD team continue to investigate this. POS team will regroup again today (23/05) based on updates from the investigation on the AD changes/fixes.
22/05 - Activity being completed under a separate call - https://meet.google.com/hkk-fiku-zds
09:28 Self service checkouts - in fix forward mode issue caused by the DART hardening and work underway to amend the policies the checkouts use. – Checkouts are working under offline mode (Plan B), they are able to use contactless, but won’t have things like gift cards, sparks functionality
07:00 - all use a single service account trying to find the rouge checkout that may be causing the progression to resolve the issue. Still unclear when a call will move to plan B
06:20 - awaiting update on whether we still doing fix forward or going to Plan B
05:50 Assumption this is due to the hardening that is now in effect so they are working on amending the policy
05:00 - fix forward mode. The scotts wont start as the master scott cant get name resolution. They can bring up the majority tills without the master scott in offline mode as part of Plan B. They will function with some limitations. They will able to use contactless but wont have things like gift cards, sparks functionality</t>
  </si>
  <si>
    <t>INC035</t>
  </si>
  <si>
    <t>Milton Keynes DC have lost wired network connection</t>
  </si>
  <si>
    <t>MK DC operations are impacted.
Note: MK is using only LAN network</t>
  </si>
  <si>
    <t>22/05 -
06:40 - Sakthi Santhosh has advised that MK and Bradford Dc's are online with wifi and LAN by 04:30.
06:20 - Corporate Wifi and LAN access is down. Guest Wifi should be available . main WIFI can not come back until the sync has finished.
21/5
20:55 The wired network was lost once the CHG63 was initiated and its expected resolve once the change is complete, awaiting further updates</t>
  </si>
  <si>
    <t>Sakthi Santhosh</t>
  </si>
  <si>
    <t>INC036</t>
  </si>
  <si>
    <t>Foods Bradford have lost both wired and wireless network connection</t>
  </si>
  <si>
    <t>Bradford can do picking/operations. But their teams’ communications/calls and drive access are lost, which is used for travel and resource planning</t>
  </si>
  <si>
    <t>22/5
06:40 - TCS being advised that MK and Bradford Dc's are online with wifi and LAN by 04:30
06:20 - Corporate Wifi and LAN access is down. Guest Wifi should be available . main WIFI can not come back until the sync has finished.
21/5
20:55 The wired network was lost once the CHG63 was initiated and its expected resolve once the change is complete, awaiting further updates</t>
  </si>
  <si>
    <t>INC038</t>
  </si>
  <si>
    <t>Nework connecitivity issues at Castle Donnintong DC</t>
  </si>
  <si>
    <t>Potential impact to DC operation</t>
  </si>
  <si>
    <t>22/05 - 07:27 For Castle Donington also, Site had confirmed at 4.16 AM that they were able to connect via LAN and Wifi services. So you can include this in your updates
21/05 - 21:55 The network connectivity issue started once the CHG63 was initiated and its expected resolve once the change is complete, awaiting further updates</t>
  </si>
  <si>
    <t>Murali Srinivasan</t>
  </si>
  <si>
    <t>INC039</t>
  </si>
  <si>
    <t>Workstations/ Store Workstations following AD takeover were offline</t>
  </si>
  <si>
    <t>Store colleagues were unable to print ECS tickets at stores impacting the store operations.</t>
  </si>
  <si>
    <t>08:00 - Retail service lead has confirmed that the issue has been resolved. Now the workstations are online and functioning.
06:00 - status not known - checks being done. feedback form rachel is that this is not a priority and Ok if they have to wait for 2 days
06:30 - Conflict of updates, need a steer on the status after the checks</t>
  </si>
  <si>
    <t>INC040</t>
  </si>
  <si>
    <t>Sterling Application is down at Ollerton DC site</t>
  </si>
  <si>
    <t>Ollerton DC colleagues are unable to process refunds for online orders
No impact to contact center at Cape Town, South Africa
RCS Chester Contact center are not using the Sterling OMS application for the last 3 weeks.</t>
  </si>
  <si>
    <t>30/05 - OMS application is accessible at Ollerton DC since 27th, 07:30. However, we are yet to understand what actions were taken to resolve the issue.
24/04 - Not started due to AD resource constraints. INC44 is higher priority.
22/05: Ollerton DC colleagues are unable to access Sterling OMS from 21/05 @ 21:00. OMS not accessible after the AD change and this has been informed in the AD Command and Control bridge</t>
  </si>
  <si>
    <t>Nandakumar Sivalingam</t>
  </si>
  <si>
    <t>INC042</t>
  </si>
  <si>
    <t>Issues with rebooting Store Tills across the estate</t>
  </si>
  <si>
    <t>Store colleagues can manually reboot the tills however, our ability to use MRS systemic reboot has been removed because MECM is down. Therefore, we are unable to accurately replay missing sales from tills to POS Beanstore.</t>
  </si>
  <si>
    <t>25/06
12:00 - POS team could see further increase in the number of MRS till reboots and although we have minimal issue observed, this will be picked up outside the incident. Received confirmation from Seevasurath Sivaratnam
24/06 07:19 - From a POS perspective, the scheduled store tills rebooting activity is being monitored. No further issues reported at hypercare till date.
23/06 12:00 - From POS side, we have seen further increase in the MRS (Managed Reboot System) till reboot stats, this continues to be under monitoring with final confirmation to be received on 25th June after the scheduled 4am MRS reboot upon completeion of CHG476 on 24th June.
20/06
11:22 - Initial stats look positive from POS and the number of MRS reboots across the store tills have increased. This will now be under monitoring until the completion of CHG476 and once POS confirms the successful MRS reboot across all store tills, this incidrnt will be resolved. Next update on 25th June as the MRS reboot takes place at 4am every morning.
7.35 : Ayo confirmed NW Chnages have been completed for all SDWAN stores, and further implementation will continue for NONSDWAN stores. Next update on Network implementation for non SDWAN stores on 24th June. However, MIM will validate with POS team on store tills reboot by 12:00.
18/06 -GK 17:10. Nick Watson confirmed that Network change is complete and validation is in progress. Looking positive with 10% Crowdstrike deployed to workstations (this is as expected, as the workstations will either be in sleep mode or powered off outside store trading). Next update: 19/06, 15:00
(SR) -
15:00 - CHG476: MECM/Carbon Black - Ports opening and Crowdstrike deployment to all stores. 18.06.25 15.00 - 24.06.25 11.00 - conditional approval, infra yet to approve. This change will go in phases, We need to chase the Service Leads to get the further updates on a daily basis. Next update on 19/06
10:45 - The outcome of the meeting with Juniper team is that a Juniper resource has been prioritised for CHG476 today. The Juniper team will finalise their implementation plan to be presented at the 2pm CAB after which they will proceed with the implementation.
(SR) - CHG476 planned for 17/06 to 19/06, was to address store tills configuration with the initial implemenation scheduled for 11 stores on 17/06. However, the change did not receive approval as planned due to a juniper related issue. Awaiting next steps following a discussion with the juniper team scheduled for 9.00am today (18/06).
17/06 - CHG476 (CAB planned for 18th Jun CAB meeting) is currently in planning phase to resolve the MECM issue at stores. The change is planned for 3 days - starting with 11 stores today, SDWAN store son 18th and Non SDWAN stores on 19th. Next update on 19th June
15/06 - Network team is covering the fix as part of Carbonblack and MECM projects. No ETA on the resolution timelines. To be discussed with Stuart Eames. Next update: 17/06.
13/06 - No further update recieved.
11/06 - No further update recieved. MIM team to follow up with POS team for further updates.
09/06- MRS recovery now depends on full MECM recovery, which will be picked on network prioritization (PC: Shikhar Khanna)
06/06 -
08:00 - Stuart Eames confirmed that POS team are working on the MECM issue
17:00 - This is now tied to MRS recovery enabled through Full MECM recovery which is based on the network prioritization
05/06 -
14:00 - MIM team spoke to Stuart Eames and received an update that the issue with MECM after CHG283 needs network prioritisation, awaiting further info from Stuart. Next update: 06/06.
08:45 - CHG283 is partially completed with successful completion of Y account. However, issues identified with domain joining and therefore, it requires further review and go through 10am CAB to resume the change.
04/06 - There is a change being implemented CHG283 to enable MECM access planned between 04/06 15:00 and 23:59 Once change is completed, check with Valli on the store validations.
03/06-There is an issue with MECM which is currently impacting the MRS reboot of tills - being worked upon by POS Team. Stuart Eames to provide an update on 04/06
01/06 - This is awaiting network team, and they are prioritizing online activity so no date known for when this will be picked up
31/05 - Network team is currently prioritizing online related changes, hence this still is deprioritised
30/05 - We need network assistance to fix the MECM issue, however, this is currently deprioritised by network team - requires prioritisation
29/05 - The AD block was removed to establish connectivity between store tills &amp; AD. There is an additional step required to allow JMX ports which could potentially fix the till reboot issue.
24/05 -
18:00 - With the temporary workaround (Isolate the AD from store tills) team were able to reboot the tills across all stores except Heathrow T5 and Reading (Test Stores). As a permanent fix, AD team is planning to fix the DNS resolution issue with device trusts. The potential fix is to disjoin and rejoin the store tills from the AD. Detailed plan is being worked out by AD team involving Issue scope assessment, Test and execute the fix across all store tills.
Though the POS center is back online, We need the AD team to investigate on the Problematic Y account responsible for autologon, based on the validations - AD unblocking will be done. POC: Retail team to co-ordinate with AD team.</t>
  </si>
  <si>
    <t>CHG476</t>
  </si>
  <si>
    <t>INC043</t>
  </si>
  <si>
    <t>Online Website Login Issue - Due to AD takeover change</t>
  </si>
  <si>
    <t>customers experiencing access issues to their basket pages, along with various errors across other domains, myaccount, sparks on Mobile apps and Browser.
Web: Login failing for UK and IE, Myaccount and Sparks inaccessible for UK and IE.
Mobile App: Customers can login, but other pages will be in-accessible.
The duration of the poor customer experience on both the website and app was approximately 4 hours and 15 minutes.</t>
  </si>
  <si>
    <t>Resolution: During the Active Directory (AD) change, a Y-account (part of the DNS admin group) with elevated privileges crucial for establishing the connection between AD services and Infoblox , was inadvertently removed. After re-enabling access to the Y-account, all previously failed services resumed functioning.
INC 43: 23/05:
00:30 - Post the access to the Y account, the functionalities worked as expected.
22/05:
21:40 - Facilitated Network workstream lead Ayo and TCS network into the investigation call.
21:21
21:21 - We are currently experiencing login errors since 20:11, which are affecting customers' access to their basket pages, along with various errors across other domains. Our initial investigation indicates that WCS is unable to resolve the host for these requests, which are essential for authorization. Incident has been raised in D&amp;T incident channel.. We are in an internal meeting bridge for investigation and next steps.</t>
  </si>
  <si>
    <t>Steve Warren</t>
  </si>
  <si>
    <t>INC044</t>
  </si>
  <si>
    <t>Bra Fit service unavailable on M&amp;S.com website</t>
  </si>
  <si>
    <t>Customers are unable to book Bra Fit appointments on the M&amp;S website resulting in poor customer experience</t>
  </si>
  <si>
    <t>02/06- this incident is resolved with a workaround- no resilence built in yet, hence the status 'being monitored'
01/06 - Same status no issues reported to date since temp fix
27/05 - AD team yet to prioritise the permanent fix.
26/05 - Holding page has been removed and the service is now available to customers. Fix applied ,Out of the 3 Infoblox systems, only one is currently operational, and the appointment service has been redirected to this working instance. Since minimal traffic is expected, the team believes this setup will suffice for now while the permanent fix is being addressed. The incident will remain active and will be monitored whilst the temp fix is in place
25/05 - 22:36 - Team to reconvene at 9am UK hrs to troubleshoot the issue
25/05 - 13:53 - Issue reopened. Being worked upon by AD, Cloud and Appointments teams. Although we resolved the LDAP failure with the workaround, intermittent issues were observed with the Bra-fit service, we have confirmed a similar issue with DNS resolution of Location services through Infoblox to AD.
This needs a wider discussion to fix - therefore, to improve the customer experience, as the issue is intermittent at the moment, the 503 error will be directed to the holding page until we have a permanent fix - this is agreed with Steve Warren. ETA - TBC (The engineer is travelling at the moment)
25/05 - 11:50 - Issue is resolved. It appears that Nexus has some compatibility issue with the new AD which resulted in LDAP failures while connecting to AD - could be due to legacy Nexus or security hardening introduced as part of AD change. As a workaround, Cloud team has locally created the appointments app Y account on the Nexus to bypass the LDAP connections to AD which has restored Bra-fit services. Akamai holding message was removed.
24/05 18:00 -As issue has been identified with the Nexus repository connection to AD, caused by a DNS resolution problem. The plan is to log in to the Nexus admin console and verify whether it is currently pointing to the new AD. If it is not, team has to update the configuration to point to the new AD and check if the services are restored.
Application &amp; AD team while investigating have identified an issue with the Nexus Repository and it warrants a Y account password reset to resolve the issue. AD team are currently working to investigate further before deciding on Y account password reset.
11:02 - Customers are unable to use BraFit application probably due to Y account issues. Stores were not impacted as they don't have this application on premise. Issue has been highlighted by Bhupi in the C&amp;C Bridge
10:58- Reported to AD team (Bhupi), he confirmed that it's being looked at.
25/05 07:11- There is an holding page to inform customers that the site is unavailable</t>
  </si>
  <si>
    <t>INC045</t>
  </si>
  <si>
    <t>Store User Manager application inaccessible across all stores</t>
  </si>
  <si>
    <t>Store Admins are unable to manage colleague profiles for both and new existing colleagues. New and Existing Store Colleagues will be unable to perform their BAU activities [ inaccessible for 3 weeks ]if their accounts are not managed by the central team</t>
  </si>
  <si>
    <t>01/06 - No new udpate same status as yesterday
31/05 - User manager is available after CHG166, however, as the holding page is still on and a date needs to be agreed to remove that for store managers to be using the application as BAU.
30/05 - Duane Bergh confirmed that the issue is resolved. Need a final confirmation from the application team.
28/05 - CHG166 is in progress, technical implementation is completed, require confirmation from Scot Hill on the completion
24/05 - 8:00- Network team will own the prioritisation of this issue and keep us updated.
14:50 Got in touch with Rajamani P who updated that Network team are yet to prioritize this issue
12:30 - Issue has been escalated to Andy , Safira who had asked Srinivas Narulu to join the hypercare bridge and escalate this issue. As this issue is ongoing for the past 3 weeks , issue highlighted with Network workstream lead Michele Quatela where in the incident has to be prioritized.
11:49 Michele (Network PM) shared Network bridge for Srini to join to further discuss this issue to know if it's AD related.</t>
  </si>
  <si>
    <t>Srinivas Narula</t>
  </si>
  <si>
    <t>INC046</t>
  </si>
  <si>
    <t>Issues with Gift card top up &amp; redemption on the store tills</t>
  </si>
  <si>
    <t>Customers were unable to top up or redeem the gift cards at stores - poor customer experience</t>
  </si>
  <si>
    <t>24/05 - As a workaround, POS team have bypassed the Azure DNS and have updated the IP address in the host file of the POS trade server to resolve the issue. AD Team are investigating the DNS resolution issue.</t>
  </si>
  <si>
    <t>POS</t>
  </si>
  <si>
    <t>INC047</t>
  </si>
  <si>
    <t>Sparks Offers not working on the tills</t>
  </si>
  <si>
    <t>Customers unable to redeem sparks offers on the store tills - poor customer experience. Staff discounts are working as expected</t>
  </si>
  <si>
    <t>09/06 - No open issues related to password reset across MK and Bradford Foods. Nanda working with Susan Reid for password resets across C&amp;H DCs (95% completed). Next follow up, COB today
06/06 - No open issues related to password resets across MK and Bradford Foods. Nanda working with Suzanne Reid for password resets across C&amp;H DCs - 90% - 95% complete.
04/06 - 90% of passwords have been reset, remaining being progressed by Suzie Reid.
01/06 - Need update on status of reset if available
28/05 : 08:30 - Some colleagues who were able to reset their password successfully through SSPR (self service password reset ). We are ascertaining the number of colleagues who have not registered to the SSPR portal would require their password to be reset. Once the list is ready, AD team will leverage dedicated bridges to facilitate the password reset for the impacted colleagues. Awaiting updates.</t>
  </si>
  <si>
    <t>INC048</t>
  </si>
  <si>
    <t>Lay Away and Recall functionality not working on tills (not critical)</t>
  </si>
  <si>
    <t>Store colleagues were unable to redirect customers to another till with payment issues on one till - poor customer experience.</t>
  </si>
  <si>
    <t>24/05 - It does not seem to be a genuine incident - as we can replicate and confirm that the recall is working as expected. Multiple txns were tests and were successful. Once the backlog sales messages are processed in POS, all recalls will be working across all stores.</t>
  </si>
  <si>
    <t>INC049</t>
  </si>
  <si>
    <t>DDS (Data Distribution System) connections not working from POS to tills</t>
  </si>
  <si>
    <t>Price Promotion, product changes, password changes on the POS centre will not flow to the tills.</t>
  </si>
  <si>
    <t>25/05 - An out of sequence issue was identified within POS which was resolved and a restart of DDS service was performed to restore services. Note: This incident is not related to AD change</t>
  </si>
  <si>
    <t>INC051</t>
  </si>
  <si>
    <t>Store Tills going "Offline" intermittently to POS Beanstore</t>
  </si>
  <si>
    <t>Tills going offline intermittently impacting store transactions not getting updated to the POS Central server.</t>
  </si>
  <si>
    <t>03/06 - Agreed with Stuart Eames to resolve this incident as INC 60 is open to triage the store server DNS connection issue.
01/06 - Awaiting prioritsation as team working on online
29/05 - There have been no further occurrences of intermittent store tills offline scenarios, however, POS team confirmed that the DNS issue at Uxbridge store servers is still persistent, therefore, we are awaiting a network &amp; AD resource to start traiging the issue.
27/05 : 20:34 - Issue was reported at 16:30 and the tills came online at 17:45 . Initial investigations point to Tills bypassing local proxy servers and attempting direct connections to the POS central server. Due to capacity limitations, the central server was unable to handle the volume of requests prompting till reboots. Post reboot , tills still connected directly to the POS Central server instead of to the store proxy server.
On further investigations from the FortiNet firewall on the Uxbridge store , we could see tills still being connected to the POS Central server. Seeva from the POS team will visit the store in person tomorrow to check on the store server. Pending updates tomorrow. Currently the issue has auto resolved.</t>
  </si>
  <si>
    <t>INC052</t>
  </si>
  <si>
    <t>Store Tills offline to POS central Beanstore from 01.25am</t>
  </si>
  <si>
    <t>As the store tills are offline to POS beanstores, gift card transactions. Sparks promotions on the tills are impacted.
Additionally, sales message flow from tills to POS beanstore are also impacted</t>
  </si>
  <si>
    <t>28/05 - Store tills were offline to POS centre as the POS IIS servers being down. This was caused due to 2 out of 4 IIS servers being down last evening, and as the POS team had been replaying missing sales messages for stores (INC50) resulting in the remaining IIS servers to go down causing the issue. Due to the password reset activity, the POS colleagues lost their access to POS trade servers which caused the delay in identifying and resolving the issue.
It has been advised to ensure the presence of AD resource in SP MH2 during Y account password reset to ensure no impact on POS application</t>
  </si>
  <si>
    <t>POS &amp; AD</t>
  </si>
  <si>
    <t>INC055</t>
  </si>
  <si>
    <t>Castle Donington IT team have lost admin access to reset password.</t>
  </si>
  <si>
    <t>Inconvenience to DC operators as the IT team are unable to reset password impacting operational activities. There are 50 DC operators who are impacted and therefore unable to perform DC operations.</t>
  </si>
  <si>
    <t>29/05: Admin access was restored by Ad team.
28/05 - Out of 4 IT Team members, the password has been recovered for one of the team member. Work is in progress to recover the remaining password and in parallel the password recovery activities for users are in progress</t>
  </si>
  <si>
    <t>INC056</t>
  </si>
  <si>
    <t>Welham Green M&amp;S partner wifi has stopped working from 28/05</t>
  </si>
  <si>
    <t>This is preventing users from connecting to the network which is required for the manual (Excel based) logistics operation</t>
  </si>
  <si>
    <t>29/05 No action was required to fix, there was a delay in syncing password.
we know Partner won't work until PW reset. Can we find some onsite partners who have performed a PW reset to confirm if successful or not
11:13 - Network team confirmed that 72 DC colleagues are already connected to M&amp;S Partner Wifi – passwords have been reset and it is taking time to Sync.
10:48 - Working with Network workstream lead to identify a resource to triage</t>
  </si>
  <si>
    <t>INC057</t>
  </si>
  <si>
    <t>Store tills offline to POS Beanstore between 28/05, 19:25 and 21:32 (CHG190)</t>
  </si>
  <si>
    <t>Cannot redeem Gift Cards and Credit Vouchers on tills, Unable to access POS Backoffice for till password resets, No Sales transactions to the POS Beanstore server and hence not sent to the downstream systems (Beam, Relex etc)</t>
  </si>
  <si>
    <t>29/05: CHG 190 - Change was to add 2 more Domain Controllers (1 in Stockley and 1 in Swindon) into the VIP (Load Balancer) as there is only one Domain Controller in service at Swindon Data Centre. This change was a pre-requisite to reboot MNS UK Domain Controllers to enable Entra Password sync (CHG 193) to ensure availability/resilience while the Domain Controllers are being rebooted. CHG 190 was implemented between 17:30 and 19:30 and was reverted at 21:32 to fix the store tills offline issue</t>
  </si>
  <si>
    <t>INC058</t>
  </si>
  <si>
    <t>HR colleagues lost access to G drives (Google Drive) to upload colleague payroll files</t>
  </si>
  <si>
    <t>HR</t>
  </si>
  <si>
    <t>Impacts payroll processing resulting in a risk of store colleagues not being paid in a timely manner.</t>
  </si>
  <si>
    <t>29/05 15:32 - All 13 colleagues have access to the google drive now.
29/05 - Network investigations have confirmed the Google Drive URL was blocked by Infosec due to security reasons last week. There is a process set up owned by Infosec which involved a form submisson and contact Roy Dsouza to expedite the request. Infosec are already fixing forward the issue upon submisson of the form. For this issue, we have escalated to Roy and it is currently being looked at.</t>
  </si>
  <si>
    <t>Infosec</t>
  </si>
  <si>
    <t>Steve Fearn</t>
  </si>
  <si>
    <t>INC059</t>
  </si>
  <si>
    <t>Outlet Distribution Center - RDTs are not able to connect to WMS application.</t>
  </si>
  <si>
    <t>Outlets Distributional Centre ( Peterborough) is not able to access the WMS application using their handheld devices (RDT) hence their regular DC operation(picking, packing, dispatch) are getting impacted.</t>
  </si>
  <si>
    <t>02 /06 - Resolved, confimed by user that the change was successfull
The implementation has gone in. But UAT testing to confirm that the change has fixed the issue is still ongoing. Should know in 30 minutes. But the network change was successful. Awaiting user confirmation.
02/06: Awaiting confirmation of network design between GXO servers &amp; M&amp;S network for infosec approval. Confirmation from CMT that this incident needs to be prioritised support. Network team to share change designs once prioirtised. Ian Kirk team to support with network account changes
02/06 - Though the WMS servers are operational at the site, the application servers are not accessible by the WMS IT team preventing our ability to triage the incident further. Richard burrows and GXO has been appraised on the same and decisions are to be made today on the next steps for IT handover. Once IT team gets the access to the servers, further troubleshooting will be performed on the RDT connectivity and repricing label printing issue to derive a fix.
01/06 - Web-version of WMS is accessible via the desktops is working. The latest update on Friday was that Dinesh was going to Stockley Park and the outcome was that they don't believe this is a network issue. this now needs to be investigated by the application teams but they don't have access to the servers and is now awaiting prioritisation for site recovered. They have a manual workaround they are using for functions they cant do in the web version .
30/05 11:38 Dc reported issued at 6AM. Network Health checks have been carried out by TCS &amp; GXO network teams-- looks good.
the RDT daemons were restarted by the DC admin user which did not resolve the issue.
Note : The RDTs can connect to NW but not to WMS application. Web-version of WMS is accessible via the desktops.
WMS application team can not support the troubleshooting as the application servers are not accessible.
DC finishes today at 2:30pm and the next shift starts at 2:30pm on Sunday 01/06. DC colleagues will revert to manual ways of working till this issue is fixed. M&amp;S C&amp;H LT has been made aware.
30/05 09:52 Being triaged with network &amp; WMS team in a MIM bridge
30/05 - At the Outlet DC - Peterborough, handheld (RDT) devices are unable to connect to the WMS application, disrupting core operations such as picking, packing, and dispatch. Despite successful network health checks by TCS and GXO teams and a restart of RDT daemons by the DC admin, the issue persists. While RDTs can access the network, they cannot reach the WMS application, though the web version remains accessible via desktops. The WMS application team is unable to assist as the application s</t>
  </si>
  <si>
    <t>Nandakumar Sivalingam / Nicole Creddon</t>
  </si>
  <si>
    <t>INC060</t>
  </si>
  <si>
    <t>Store Servers are not connecting to domain controllers</t>
  </si>
  <si>
    <t>Potential risk to store tills going offline to POS beanstore centre impacting gift cards, sparks transactions and flow of sales messages from the tills.</t>
  </si>
  <si>
    <r>
      <rPr>
        <sz val="10"/>
        <color rgb="FF000000"/>
        <rFont val="Aptos Narrow"/>
        <family val="2"/>
        <scheme val="minor"/>
      </rPr>
      <t xml:space="preserve">08/08 - A fresh round of validations were performed this morning and store servers could now connect to all the domain controllers after opening the port by Network team under CHG1618. Issue confirmed to have been resolved.
07/08 - Through validations, some issues have been identified and this is currently being triaged by Network team. Next update at 17:00 on 08/08
06/08 - 
17:20 - Validations continue by the stores team and we are awating a further update by 16:00 on 07/08
09:00 - CHG1618 was impemented by the Juniper team and validations are being performed to confirm if the change is successful. Next update on 17:00.
05/08- 
11:00 - CHG1618 was approved in CAB and the implementation window is between 12:00 and 17:00. Post validation confirmation to be provided by 06/08 16:00 [Next update at 06/08 16:00]
09:30 - CHG1618 (Communication from SDWAN stores towards updated LDAP-Domain Controllers) will be presented in 10:00 CAB. </t>
    </r>
    <r>
      <rPr>
        <b/>
        <sz val="10"/>
        <color rgb="FF000000"/>
        <rFont val="Aptos Narrow"/>
        <family val="2"/>
        <scheme val="minor"/>
      </rPr>
      <t xml:space="preserve">Next update at 13:00 on 06/08.
</t>
    </r>
    <r>
      <rPr>
        <sz val="10"/>
        <color rgb="FF000000"/>
        <rFont val="Aptos Narrow"/>
        <family val="2"/>
        <scheme val="minor"/>
      </rPr>
      <t xml:space="preserve">
04/08 - CHG1618 will be presented in either the 10:00 or 14:00 CAB on 05/08 and the implementation window will end at 17:00. Next update at 13:00 on 06/08.
01/08 - Ana Pedrosa confirmed that CHG1618 for communication from SDWAN stores towards updated LDAP-Domain Controllers raised. Still waiting on Design Approval. Will go to 2 PM CAB on 04/08, if the design approval is received by today.</t>
    </r>
    <r>
      <rPr>
        <b/>
        <sz val="10"/>
        <color rgb="FF000000"/>
        <rFont val="Aptos Narrow"/>
        <family val="2"/>
        <scheme val="minor"/>
      </rPr>
      <t xml:space="preserve"> </t>
    </r>
    <r>
      <rPr>
        <sz val="10"/>
        <color rgb="FF000000"/>
        <rFont val="Aptos Narrow"/>
        <family val="2"/>
        <scheme val="minor"/>
      </rPr>
      <t xml:space="preserve">[Next update : 05/08 15:00]
31/07 - Ana Pedrosa confirmed that CHG1618 for communication from SDWAN stores towards updated LDAP-Domain Controllers raised. 
Implementation window - 01/08 00.00 - 01/08 18:00
Engineer Details: Bala P (Network) &amp; Sarath (Juniper)
[Next update at 01/08 18:00]
</t>
    </r>
    <r>
      <rPr>
        <b/>
        <sz val="10"/>
        <color rgb="FF000000"/>
        <rFont val="Aptos Narrow"/>
        <family val="2"/>
        <scheme val="minor"/>
      </rPr>
      <t xml:space="preserve">
</t>
    </r>
    <r>
      <rPr>
        <sz val="10"/>
        <color rgb="FF000000"/>
        <rFont val="Aptos Narrow"/>
        <family val="2"/>
        <scheme val="minor"/>
      </rPr>
      <t>30/07  - Ana Pedrosa is the network PM who is currently working with Jun+[@[Latest Update/Actions]]iper to finalise the implementation plan before presenting in the CAB. Next update at 31/07 12:00
29/07 - We will be able to procure a dedicated Juniper resource to work on this tomorrow and do the implementation. Next update at 16:00, 30th July
28/07 -
17:00 - We identified that the Juniper configurations were missed in the implementation plan, therefore, this requires a new change which will be worked upon by Juniper nd Network PM by tomorrow. Next update at 16:00 on 29th July.
 12:00 - We are awaiting a further update from Network team on Juniper involvement. Next update at 18:00.
25/07
17:00: Alex Williams - Network PM is yet to secure a Juniper resource to investigate the issue. Next update on 28th July, 12:00.
14:00 - We have validated the network rules/port/policies on the FortiGate and no issues are observed. We are further validating the rule policies witin Juniper firewall to identify the issue. Next update at 17:00.
12:30 - The issue that we understood is that the Retail team can connect to one Domain controller but not the other 3. Our network investigations confirmed that the config is enabled , however, further validations are required on the Juniper side which is ongoing. We would not require any change extension or new change as the implementation plan is correct and approved by relevant parties. Next update at 16:00.
10:44 - Through validations, we identified that some discrepancies, therefore, have been agreed to extend the change window to accommodate further changes. Next update at 16:00, 25th July
24/07 -
16:30 - CHG1280 is completed successfully, the retail team are validating the services and we will receive a further update by 18:00. Next update on 28th July, 12:00
14:20 - The change is completed from network side, store infra teams will validate the success of the change and we will receive a further update by 15:30. Next update at 16:30.
13:30 The change window has now extended until 14:00 from 12:00 (24th July). Next update: 14:30.
09:30 - CHG1280 has commenced, the implementation is underway and we will receive a further update once the change has completed and validated. Next update at 13:00
23/07 -
17:00 - An ECAB was conducted and CHG1280 is now approved and the implementation window is between 09;00 and 12:00 on 24th July. Next update at 14:00 on 24th July
11:30 - CHG1280: Non-SDWAN access to cafeteria printing and LDAP Enablement. 23.07.25 15.00 - 23.07.25 18.00 has been raised, however, Juniper level implementation steps are still being finalised followed by which the approvals will be secured before presenting in the CAB. Next update at 17:00
22/07 -
17:00 - The requirements have been gathered and an implementation plan will be written by EOD today, Network PM is aiming to present the change in the CAB tomorrow. We will chase at 12:00 on 23rd July. Next update at 12:30 on 23rd July
12:45 - Network PM (Alex Williams) has confirmed that they are working on a plan and will provide a further update by 17:00. Next update at 17:00
21/07 - MIM have spoken to Alex Williams (covering in absence of Ana Pedrosa) to push forward the planning of changes required to fix the incident. Next update on 22nd July, 14:00
18/07 - The network work is ongoing as other prioritisation is currently being worked upon. Next update on 21st July, 14:00
17/07
17:25 - The current plan is to create a change to add VLANS that need access to main controler. by Network team however, the retail team needs to provide requiremennts and then Network resource to be allocated and progressed. Next update at 16:00, 18th July
11:30 - Ana Pedrose (Network PM) has scheduled a call with Stuart Eames (Retail) at 14:00 to work on the plan forward for INC60 and IN85. Next update at 16:00.
16/07 - There is plan being made to fix the issue, we need further details on the plan of implementation from Ana pedrosa. Next update at 17:00, 17/07
15/07 -
13:30 : NW team busy with P1/P2 next update 16:00, 17/07
Network team is currently working on this incident to draft an implementation plan and MIM will follow up with Ana Pedrosa (network PM) by 16th July, 12:00
09/07 - As the network teams are currently working on more critical items involving RDM, Travel Bureaus. there is currently no plan of resolution on this. And we will further follow this up on Monday. Next update at 14:00 on 15th July.
08/07 - There are further discussions happening with Retail and Network team, a plan is yet to be built to resolve the issue. Next update on 9th July, 16:00
07/07 - There is no significant update on this incident from network or RIT team, this requires further investigation. Next update on 9th July, 14:00
05/07 - As the network team are dealing with critical changes over the weekend involving CSSM and Castle Donington, there is no work done for INC60 and we will follow up with network team on Monday 12:00. Next update on 7th July, 13:00
03/07 - The network team are currently working on two critical requirements under INC151 (Bake Labels) and INC106 (Cafe tills VLAN issues) and the changes for these two incidents will be presented in the CAB this week. The implementation plan for INC60 will be written over the weekend and will be presented in the CAB on Monday, Next update on 7th July, 12:00
02/07 - The network team is currently working on a more priority issue with the F5s and this will be picked up tomorrow. ETA: 3rd July, 15:00
01/07 - 20:00 Network team have continued working with the InfoSec team and are looking at restricting access to the Active Directory (.AD) within the Virtual Local Area Network (VLAN). They will continue to validate with the Stores which VLANs are needed within the two domains.
30/06 -
17:00 - Direction from Infosec is to restrict access to AD per VLAN. Validating with Stores (Shyam) which VLANs are needed within the two domains. Next update at 17:00 on 1st July
28/06 - Due to limited network resources over the weekend, this incident will be picked up for further troubleshooting on 30th June. Next update : 30/06, 15:00
27/06 -
15:40 - The network team are aware of the fix, however, there are some further troubleshooting that are currently being performed before finalising the plan of action. Next update on 28th June, 15:00.
26/06 -
18:00 - MIM have spoken to network, the fix involves opening the /20 subnet to DNS and making changes in the ACL config switch - however, this requires further approval from Infosec. Network PM will schedule a call with POS and Infosec to run the plan before raising a change with relevant approvals from Infosec and Network DA. Next update: 16:00 on 27th June
14:20 - MIM has been advised by Network PM (Michele) that the fix requires a successful connectivity between all MNSSTORES &amp; MNSUK domain controllers to fix the DNS issue for store server. This currently needs further investigation by the Network team. We have assigned a network engineer to look into it. The status is now being changed from "Prioritisatiin Required" to "In progress". Awaiting further details by 18:00.
11:55 - A call was scheduled with POS team and Network engineer and to proceed further, it requires SDWAN Network engineer (Shantanu or Bala) and someone from the AD takeback team (James Evans and Graham Rushton) needed to provide more requirements/info and POS Team (Shyam Vadgama). Once we have someone available from the SDWAN team, the investigagation will begin. Next update on 27th June, 12:00
09:00 - MIM have spoken to Network PM to prioritise INC60, this has been added to their priority backlog now, however, we await further details from Network PM on the next action. MIM to follow up by 15:00 on 26th June.
24/06 16:10 A decision was made that this would move to Prioritisation Required as INC119 needs to proceed this Incident. Next update 26/06
23/06 - POS (Seeva) and Network team to review the network rules for tills VLAN102 and identify the rules/actions required to be taken to fix the issue for VLAN101 which would fix the issue. Next update on 24th June 15:00.
22/06 :8:30 : Update from NW Team: "relatively easy to fix! - Need POS availability to dig more logs on this INC,Need Juniper team also to verify any deny logs from the Servers
21/06 20:19 BB Ayo &amp; Ian (Network team) confirmed that investigation is in progress. Network PM to share update on hypercare bridge on progress
17/06 - MIM spoke to Seeva (POS) who advised that this requires a network engineer to be free to start working on this.
14/06 - It needs network change. Needs follow up with Richard Wrightwells next week. Ayo joined hypercare bridge and he is aligned. Next update: 17/06.
13/06 - Shyam confirmed that a network change is being planned to enable connectivity from VLAN 101 and other VLANs to the domain controllers (Both MNSUK and MNSSTORES), once this change is done, Shyam will visit the store to check if the issue exists or not. If the issue exists, further troubleshooting will be performed. POC for network change - Richard Wrightwells
11/06 -
10:45 - Shyam has shared the store server logs for MNSStores domain to the AD team and Shyam will now plan to visit the store again next week to gather the logs from the MNSUK domain testing. As MECM &amp; Carbon Black is prioritised, the visit to store is pushed for next week. ETA - 16th June.
08:30 - No further update recieved. MIM team to follow up with POS team first for further updates.
09/06 - POS, AD and NOC to possibly connect today for log analysis, to ascertain the cause of the issue.
Note: Currently all the store applications/tills are directly routed to Beanstore servers, bypassing store servers (DNS) -as part of ops recovery – Infosec and business is aware of this set-up change.
06/06 - Shyam Vadgama (POS) advised that there is no change in status, this needs further investigation with AD and Network team. Tayo (TPM for Checkouts) will give a further update on Monday (09/09)
05/06
14:00 - Shyam has updated that the teams are currently busy with MECM and Carbon Black issues, therefore, there wont be any progress made on this today. Next update - 06/06.
04/06
17:30 - Shyam (POS ) has executed the commands at Uxbridge store and have collected the test results in his drive. POS team to work with Alistair (Active Directory) to triage further and agree on a plan on 05/06
09:30 - MIM spoke to Shyam which is on his way to Uxbridge store to run the commands and provide the test results to AD Team for further investigations.
03/06 - Shyam V (POS) team confirmed of a broken cable issue which restricted the command testing at Uxbridge store, this will be reattempted tomorrow (04/06). Once test results are out, AD team to liaise with POS to identify a plan for resolution.
02/06 - POS team will be going to Uxbridge store tomorrow (03/06) to capture logs and it will be passed on to the AD team for further investigations.</t>
    </r>
  </si>
  <si>
    <t>CHG1618, CHG1280</t>
  </si>
  <si>
    <t>Recovery</t>
  </si>
  <si>
    <t>INC061</t>
  </si>
  <si>
    <t>Bradford foods facing issues, 1 out of 10 servers are not accessible. Server Details: Primary DB not connecting, Initial triage was performed by DB team however seeking support from Network Support - Linux admin team to connect to server to generate root password etc which the team is unable to perform (relevant change 183)</t>
  </si>
  <si>
    <t>Operations, no impact, to restore BAU environment.</t>
  </si>
  <si>
    <t>02/06 - Linux resource is aligned hence looking for network support to traige
Auto resolved around 14:00</t>
  </si>
  <si>
    <t>Sophie Grove / Jaychandran Krishnan</t>
  </si>
  <si>
    <t>BAU</t>
  </si>
  <si>
    <t>INC062</t>
  </si>
  <si>
    <t>Times clock in 13 Repulic Of Ireland stores are not working from 28th May 19:28.</t>
  </si>
  <si>
    <t>Clocks in the Republic of Ireland have dropped or become blocked affecting 13 stores, the last successful clock in data was received on 28th May at 19:28, after which no further data has transmitted, the issue is now impacting the monthly payroll process which includes enormous pre work before end of the month, as clock data is not available to calculate staff payments.</t>
  </si>
  <si>
    <t>02/06 - 19:45 - The network team has identified that two clocks from Dublin Mary St are connecting via port 443 using HTTP which is not permitted under the current design specifications. Since this is a design related issue, it has been agreed with the product manager to exclude it from the incident count and treat it as part of the respective team’s action items. In the meantime, the store team will continue operations using a workaround until the product team implements a permanent solution.
17:40 - Time clocks across all ROI stores are online except for Dublin Mary Street. Network team is investigating
15:00 - A soft reboot at the port level was successfully performed on one store, and the clock is now back online. Confirmed by user. Further which the team has applied the fix for remaining 12 stores. Awaiting final confirmation from user.
02/06 12:14 - network team is investigating this on priority,</t>
  </si>
  <si>
    <t>Alex Fergus</t>
  </si>
  <si>
    <t>INC063</t>
  </si>
  <si>
    <t>Incorrect prices for few UPCs on mobile scan &amp; shop(MPG-mobile pay go) &amp; Digital Cafes</t>
  </si>
  <si>
    <t>Through validations, we identified that some discrepancies, therefore, have been agreed to extend the change window to accommodate further changes. Next update at 16:00, 25th July</t>
  </si>
  <si>
    <t>03/06-
17:17 - Confirmation received that the UPC prices have no further issues on MPG and Digital Cafes.
10:00 The overnight data refresh Job (VOD) has been completed , post which we can see the correct prices updated for all the UPC's. The incident will be resolved after a period of monitoring.
21;20: Though restoration command job completed successfully, the job didnot restore the data due to time condition as the job can restore data from files not more than 12 hrs old. Hence a decision has been made to let the daily job run at 3:45(03/06) and update the prices details. Note that the daily job is full refresh data and all the incorrect price is expected to be updated once the job run is complete. Team is on hypercare monitoring.
02/06 15:00 - Jenkins job was failing from 19/05 and hence the price information was not updated. The job is now fixed by the Jenkins team (Prabhu Cloud Tools). The restore command being executed manually at 20:00 today (02/06) to check if the latest prices are being reflected correctly before the overnight job run at 03:45. Follow up action: To see if the overnight jobs have successfully executed. Check with POS team (Shikhar Khanna) @20:00 &amp; then 8:00 (03/06)</t>
  </si>
  <si>
    <t>Cloud Ops</t>
  </si>
  <si>
    <t>INC064</t>
  </si>
  <si>
    <t>3 Non SDWAN stores are currently unable to access RFID counting URLs
https://cssm-lcsapi-prod.rtl.apps.mnscorp.net
https://rfid-backstage.rtl.apps.mnscorp.net</t>
  </si>
  <si>
    <t>The RFID counting begins at 19:00 today (02/06) which will affect the store's ability perform gap scanning</t>
  </si>
  <si>
    <t>02/06 - 21:00 Received the confirmation from Chris Harrison that the issue has been resolved.
Network team have been enagaged to enable the RFID counting URL access for the impacted stores as the step was missed earlier during the implementation of the change
The access to RFID counting URL for the 3 NON SDWAN stores - Braehead,White City,Manchester were not enabled as per plan under the change 'CHG 222- Scale new version of LCS app on honeywell' .
RFID Counting appliction URL: https://cssm-lcsapi-prod.rtl.apps.mnscorp.net
https://rfid-backstage.rtl.apps.mnscorp.net</t>
  </si>
  <si>
    <t>INC068</t>
  </si>
  <si>
    <t>WMS DB File server capacity issues at Stoke, Milton Keynes &amp; Swindon DC's</t>
  </si>
  <si>
    <t>Stoke DC - Picking operations are impacted
Swindon &amp; Milton Keynes DCs - The database file system capacity has spiked to 87% resulting in a risk to picking operations at the sites.</t>
  </si>
  <si>
    <t>04/06 07:15 - Application team (Karthick GC) have confirmed that no further issues were observed overnight and the incident can be set to resolved
03/06 - 19:30 - Change 282 implemented to resolve the issue has been successfully completed. This change addresses the replication between the primary and secondary database servers. The incident will continue to be monitored until tomorrow morning. Post-change, verification was completed with DC colleagues and picking operations have resumed.
Change 282 has been raised for this and will be presented in the 2PM CAB
DB, Linux and Storage team are working on
Primary - to Secondary sync up is not working as a result primary servers are out of storage, emergecy change is being raised to fix this</t>
  </si>
  <si>
    <t>Storage</t>
  </si>
  <si>
    <t>CHG282</t>
  </si>
  <si>
    <t>Nicole Creedon</t>
  </si>
  <si>
    <t>INC069</t>
  </si>
  <si>
    <t>Missing New Relic data in the store honeywell devices</t>
  </si>
  <si>
    <t>Revised Impact - Colleagues have lost the telemtetric data to monitor the honeywells across 600+ SDWAN stores. Also, as ISF and LCS are currently live across 50 stores, the team will fail to identify any issues on the apps.</t>
  </si>
  <si>
    <t>12/06 - The MIM team verified with Chris Harrison who confirmed that the issue was resolved based on Zscaler recommendation and the incident has been marked as resolved. There is no change reference associated with the fix, as it was implemented under a fix-forward approach.
11/06 : 22:22 - New Relic data is missing from Store Honeywell devices due to failed log transmissions to New Relic FQDNs, caused by Zscaler SSL inspection. Following incident triage, team implemented an SSL inspection bypass for the affected New Relic domains by 22:00. An case was raised with Zscaler (#05652922), and received their recommendations.
11/06 Based on the revised impact as the colleagues have lost monitoring ability across majority of stores ( impacting 600+ SDWAN Stores telemetric data to monitor honeywell devices)
11/06 : 17:00hrs Request from Julia F : NC69 - New Relic - Error logging from all honeywell apps and device logs are currently blocked at network level for a majority of stores. We need urgent help from networks to resolve it. it will affect ISF and therefore Online
04/06 07:29 - The ACL rules require an update at the Zscaler level to fix the issue. The network team is currently assessing the priority and next steps.
03/06 - Initial investigation revealed a potential issue with Zscaler packet inspection. Below are the example URLs -
https://mobile-collector.newrelic.com
https://mobile-crash.newrelic.com
Network to prioritise this incident once all the changes in flight are successfully completed.</t>
  </si>
  <si>
    <t>INC070</t>
  </si>
  <si>
    <t>Store User manager applicatIon inaccessible at SDWAN stores from 3rd June</t>
  </si>
  <si>
    <t>Store Admins are unable to manage colleague profiles for both and new existing colleagues. Around 40k store colleagues are unable to reset their password across the SDWAN stores.
Note: Surface Go tablets when connected to BT wifi at store can access user manager.</t>
  </si>
  <si>
    <t>05/06 : Confirmation received from Valli that the SDWAN Stores are now able to access User Manager without any issues. Note - The workstations connected to the client bridge will have issues and will be picked up separately. There are issues with few stores due to the dynamic URL concept, a runbook will be created to address the issues until a permanent fix is deployed. Sal Ahmed owing the runbook preparation.
04/06 - 20:00 - The network team has successfully pushed the amended policy on Fortinet to all SD WAN enabled stores. 7 stores have confirmed that the User Manager application is now working as expected. Further, the team are awaiting confirmation from the remaining SDWAN stores to validate if the resolution is effective across the wider estate. This is currently a temp fix, The permanent solution is yet to be rolled out via documented change &amp; the above temp fix steps will be captured in the retro change which is yet to raise. A playbook will be created to document the steps to avoid wider impact if the issue recurs.
16:00 - Policy being pushed for all SDWAN stores by network team - ETA : 18:30.
15:40 - Network team created a policy to add user manager specific URLs, a script will be built to push this policy on the FortiGate firewalls for all SDWAN stores upon successful testing on Marble Arch store. Received approval from Sal and Infosec and agreed on a fix forward approach.
Testing successful for test store - User manager is now accessible at Marble Arch store.
12:20 - NW team cannot see the Logs from the workstation since these are using dynamic Ips and continuously changing the ips while hitting the AKAMAI url. It's frontend url (more like a proxy). Since this AKAMAI url is being accessed via dynamic ip address it is nearly impossible for NW team to confirm how many urls are trying to access AKAMAI from the backend.
According to NW team, this is a new requirement, and these urls are not added in the firewall rules
1. We need the complete list of backend urls which are trying to hit AKAMI url.
2. We need to bring NW stream lead and Info-Sec team to make a decision further on how we can add them in the firewall or whitelist those ips/urls.
10:00 - MIM bridge being opened to triage the issue with AD &amp; Network team.</t>
  </si>
  <si>
    <t>Duane Bergh &amp; Valliammai Ramasamy</t>
  </si>
  <si>
    <t>INC071</t>
  </si>
  <si>
    <t>Issues with RFID counting (LCS app) at 50 stores</t>
  </si>
  <si>
    <t>Store colleagues can perform counts, however, when multiple colleagues tried to submit counts on the honeywell devices, error message pops up on the honeywell devices resulting in operational inconvenience at stores.</t>
  </si>
  <si>
    <t>05/06 - Received confirmation from Theo Waardenburg that counting activity is progressing without any issues.
04/06
20:00 CHG303 approved via eCAB and validations were performed from the stores who confirmed successful RFID counting. However keeping the issue under monitoring until EOD 5/6 to confirm if counting works today as well ( POC : Theo Waardenburg / Janarthanan R )
18:19 - CHG303 is completed and being monitored.
16:30 - It was confirmed that the issue was caused by CHG222, and it requies a slight amendment to a line of code which is currently being approved through Ecab under CHG303 - once approved, this fix will be deplpyed to fix the issue.</t>
  </si>
  <si>
    <t>Honeywells</t>
  </si>
  <si>
    <t>CHG303</t>
  </si>
  <si>
    <t>Theo Waardenburg</t>
  </si>
  <si>
    <t>INC077</t>
  </si>
  <si>
    <t>Loyalty vouchers / Eagle Eye vouchers not working at 66 Non SDWAN stores</t>
  </si>
  <si>
    <t>Customers are unable to redeem their loyalty vouchers at the stores resulting in poor customer experience.</t>
  </si>
  <si>
    <t>20/06
16:00 - We have received confirmation from POS team that the eagle eye voucher transactions are reflecting in the POS traffic which ensures that the issue is resolved.
13:00 - Validatins ongoing with stores as the testing requires customers to transact with Eagle eye coupons - being validated across 3 stores now. ETA 16:00.
8:53 : CHG520 completed successfully, Validation ongoing by Retail Service lead - Valliammai Ramasamy before resolving the incident. Next update: 12:00.
19/06 -
18:02 - CHG520 was approved in CAB, implementation window is between 14:00 and 20:00, 19/06. Validate with Valliammai Ramasamy once the change is over. Suggestion is to keep it under monitoring until 20/06, 10:00.
The network change will be presented in the 2pm CAB for approval. Awaiting change reference &amp; Implementation window. Next update: 16:00
18/06 - (JM)
15:52 - The implementation plan for the other stores is currently being worked upon to be sent for DA and Infosec approval. This would go through Change followed by CAB approval. Next update on 19/06
07:50 - VLAN 102 config changes were performed on one of the store – 9137; and it had fixed the issue. Subsequently, the implementation plan for the other stores has been sent for DA review and it is expected to be presented in Today’s 2PM CAB
17/06 -
16:00 - Network team (Raja) advised that the policy required for Eagle eye coupons to work at NON SDWAN stores was enabled when the policy change was done for SDWAN stores (need a clarity on date). Valli (Service Lead) is currently checking with stores if the issue exists. Bear in mind, we can only test this when a customers walks in and want to redeem their coupons. ETA: 18/06.
10;00 - Needs prioritisation from Network team to write the implementation plan and raise it to the CAB before implementing the fix.
13/06 - With Louise Lunt's help, the network investigation for this incident has been added to the bottom of network's priority list - this mean when a network resource is free, this will be picked. We do not have an ETA at the moment, but MIM team will keep chasing Network PM. Next update: 17/06.
12/06 - A group chat has been created with Network &amp; POS team by the POS team to discuss and prioritise the change required to enable Eagle eye coupons at the NON SDWAN stores. Awaiting a decision from POS team.
11/06 - No further update recieved from Network team on the prioritization. Next Steps: Escalate further
06/06 - RIchard Wrightwells have confirmed as part of the initial network pin holing activity to allow certain feature to work on the tills, pinholing was done for SDWAN stores for Eagle Eye coupons, however, this was overlooked for non SDWAN stores. A network change is required to implement the pinholing of Non SDWAN store Eagle eye feature to resolve this issue. This needs to be in Network's priority list and a change to be raised following the CAB process before implementation</t>
  </si>
  <si>
    <t>CHG520</t>
  </si>
  <si>
    <t>INC078</t>
  </si>
  <si>
    <t>Colleague payroll data exposed to public end points via SDWorx services.</t>
  </si>
  <si>
    <t>Loss of PII data ( payroll data including bank accounts )</t>
  </si>
  <si>
    <t>07/06 - Peter Griffiths has confirmed that there is no data breach from this incident. Through a wizard recommendation it was highlighted that security remediation was required to be taken to remove legacy data that was contained in the PAAS database. This data has been deleted and there is future rremediation work planned to harden the database, however, this incident can be closed.
06/06 - After the decommission of SDWorx services in 2024, there were 5 PROD and Non PROD SDworx services consiting of colleagues data exposed to public end points. The HR Team were involved and have now truncated the data from the end points. MIM team requested Mudassar Kazmi to check further if any assessment with Infosec is underway to confirm on any data compromise/threat.</t>
  </si>
  <si>
    <t>Grantly Mailes</t>
  </si>
  <si>
    <t>INC079</t>
  </si>
  <si>
    <t>Connectivity issue between Carrier Gateway and Sorted at C&amp;H Bradford DC
Label Printing flow - Bradford Knapp WMS -&gt; Carrier Gateway -&gt; Sorted (and vice versa)</t>
  </si>
  <si>
    <t>The DC is not live yet for ecomm orders, however, the go live date is on 10th June. If the issue is not resolved, this will impact carrier label printing at the site affecting packing operations. Also, it is absolutely critical to fix the issue at Bradford to allow order fulfilment before we bring website up.</t>
  </si>
  <si>
    <t>08/06 - Feedback recieved: The team were able to successfully process the pending orders they had on site today. The site operations confirmed to resolve the incident, hence resolving
AK followed up with Sian on the latest status update.
07/06 -
18:40 - Knapp engineer joined the call and end-testing was done and could see no delays in the transaction. DC to continue with operations and to update . Contacted Sian Baker to let us kow the feedback
18:15 -
a) After uploading certificate , sorted calls were successful and no issues seen
b) Awaiting Knapp WMS engineer to join call and do a end-end testing.
17:15 - a)SSL cert issue between Carrier Gateway &amp; Sorted - Sorted is currently reuploading the certificate and then we will validate the flow, If the issue persists, Sorted will restart the APIM (issues API key to Sorted) to reflect the new certificate.
b)Issue between WMS &amp; Carrier Gateway - We have identified that a shipment request is taking longer than usual to reach Carrier Gateway from KNAPP WMS. There is a network load balancer between WMS and Carrier Gateway and this requires further investigation. KNAPP IT and Network team to investigate the issue further.
17:00 - a) SSL cert issue - Sorted are still working on fixing the broken certificate issue.
b) Investigations revealed that there are 2 requests going to Sorted for one Allocation call. Logs are being investigated to identify the cause of the issue. Also trying to get an error shipment message from KNAPP engineer.
16:10 - There are 2 issues at the moment:
a) SSL issues between Carrier Gateway &amp; Sorted - Sorted has confirmed a broken certificate issue within their landscape and this is being investigated.
b) When a label is being requested to Sorted, the shipment runs into an error stating "it is already allocated" - This is currently being checked,
15:30 - Sorted has investigated at length, however, could not identify any obvious issues. They have now gone back to perform a thorough check of the certificates within their landscape. MIM bridge reconvenes at 16:00
14:40 - Investigations continue with Carrier Gateway and Sorted teams to identify a solution.
12:15 - We are seeing SSL certificate errors and therefore have raised a case with Sorted to update the certs within Sorted environment. The plan is to test sample label printing after the certificates are updated. If it fails, engage Network team, Si Painter from Network is inline. Currently we are awaiting Sorted resource in our MIM bridge.
12:00 There is a dependency on the website recovery as Bradford needs to be live to fulfil ecomm orders. A MIM bridge is being opened to triage the issue with Carrier Gateway and Sorted team,</t>
  </si>
  <si>
    <t>SORTED (vendor)</t>
  </si>
  <si>
    <t>Sian Baker</t>
  </si>
  <si>
    <t>INC080</t>
  </si>
  <si>
    <t>Stores tills are offline (glitch between 15:16 and 15:25 on 8th June)</t>
  </si>
  <si>
    <t>The store tills are offline to POS beanstores, gift card transactions. refunds, Credit Vouchers,POS backoffice, Hospitality, In store orders, Online order payments, Till rebuilds are impacted.
Additionally, sales message flow from tills to POS beanstore are also impacted.</t>
  </si>
  <si>
    <t>13/06 - Received a confirmation from Seeva (POS) that the incident has not recurred and therefore, the incident is being closed. However, after multiple investigation within Network, Cloud &amp; POS layers, the root cause remains inconclusive.
11/06 - MIM team to follow up with the POS team including the latest updates from CloudOps if the root cause can be obtained. Once confirmed, we can resolve the incident. ETA: COP today.
10/06 -
14:00 - MIM spoke to Emman and confirmed that there are no anomalies observed in the POS trade servers from an Azure perspective. Cloud believes a possible network change could have caused the issue. there is no further triage from Cloud perspective. Needs next steps from POS team.
12:30 - Spoken to Seeva from POS and albeit there are issues with the POS trade servers and requires Cloud Ops attention to identify the issue. MIM to find out if CLoud Ops (Emmanuel) has access to POS trade nodes in Azure.
09/06:
09:45:The case is currently pending with the CloudOps team for further analysis on the impacted POS Trade Nodes.
Below is the error observed:
com.ibm.ws.webcontainer.servlet.ServletWrapper service SRVE0014E: Uncaught service() exception
Root cause: dispatcherServlet: java.io.IOException: Async IO operation failed (1)
Reason: RC: 10053 – An established connection was aborted by the software in your host machine.
9:13: Awaiting further information on the RCA from network team. Also checked with Sam to see if there are any issues noticed this morning post the blips yesterday. Awaiting further information.
09/06:
07:00: The issue has not resurfaced itself since yesterday (15:52). Further investigations on the logs will be resumed today business hours to ascertain the root cause of the issue to prevent the re occurrence. Hypercare is in place monitoring stability.
08/06
15:13 Steven warren reported to Safira, that POS tills are offline. MIM Reached out to POS team and understood that the Tills were offline between 14:45 and 14:55 and teams are investigating the RCA with Network team
15:30: Sam clement has reported that the Tills went offline between 15:16 and 15:25 approximately and issue seems to be intermittent. Investigations are underway
15:45 Manish from network is working POS team in SP to investigate the issue. the Initial suspect is that the CHG336- Network Changes (.COM Deny Rules - Palo Alto N/S) would have caused issue, investigations are still in progress
17:00: Considering the issue started before the actual implementation of the change- CHG336- Network Changes (.COM Deny Rules - Palo Alto N/S). We have now ruled that this issue not caused by the change. We have also verfied other changes that implemented before 14:45 and ruled out there not cause the issue. POS team and Network continue to investigate the RCA in person in Stockley Park.</t>
  </si>
  <si>
    <t>Sam Clement</t>
  </si>
  <si>
    <t>INC081</t>
  </si>
  <si>
    <t>Store colleagues unable to access .com+ and SPPD. Both the apps are live in 50 stores only</t>
  </si>
  <si>
    <t>SPPD - Store colleagues cannot pack and dispatch orders.
.com+ - Store colleagues will be unable to reset the passwords, to perform their BAU activities.</t>
  </si>
  <si>
    <t>12/06 8.30 AM - INC91 was resolved by sending an engineer to the site who made physical network changes. More sites where it is likely we need to do this but will raise a separate incident to cover.
11/06: MIM team followed up with Theo in the afternoon still awaiting RIT engineer to visit te site.
11/06 - Awaiting an update from Theo on the planned visit of RIT engineer to decide on the next steps. Also need a further update to see if we have recieved any further complaints from other stores. Next update: By COP today (11th Jun).
10/06
18:00 - 4 workstations at Braehead - Resolved the issue for 2 workstations by changing the client bridge port. RIT engineer visit being arranged for the 2 workstations at Braehead.
3 stores - Resolved after a workstation restart. Next update by tomorrow morning - this incident will be under monitoring to ensure no other stores are reporting any problems.
16:22 - Theo will go back to get the store set up - if the store devices are on the client bridge - we have 2 client bridge set up at the store - one is dedicated to the POS and one is for workstations. If the store devices are connected to the right client bridge port - either we ask stores connect to the correct port or ask network team's assistance. We will await to hear from Theo.
16:00 - 4 stores are currently having issues with SPPD application - 1 workstation at each store is not working.
10:00 - Received confirmation from Theo to monitor until COP today before we resolve the incident.
09:00 - Theo has confirmed that the 2 Non SDWAN stores where the fix was applied can access .com+ and SPPD applications. Awaiting confirmation on the fix being deployed to 82 as well before resolving this incident.
08:46 - Spoke to Valli and requires update from Theo on the validation status of Braehead, Pollock Glassgow, WhiteCity. Dublin and Lisburn are currently not using SPPD and .com+.
09/06
20:50 - Theo confirmed CHG367 seems successful as Manchester is working. More validations to be performed tomorrow morning.
14:44 -Stores are unable to access .COM+ and SPPD application from Client bridge VLAN 108:- To fix the issue
Network has created a plan to implement the VLAN108 related changes for 44 SDWAN stores which are part of Phase 1 around 14:30 and implementation plan for remaining 4 Non SDWAN for the ACL change needs to be made in Juniper is being worked upon. Once the changes are implemented network team will raise a retrospective change.
09/06 Incident made critical, MIM bridge set up
09/06 (5 stores have reported access issues as the CHG301 implementation steps not worked on these stores)
09:44- Incident has been escalated in the NW bridge for prioritization - Theo to provide the URL details to NW PM for network internal triage. Ian has agreed to check with the team's availability and to assign an NW engineer for incident triage. Note: this again depends on prioritization.
07:00: The network PM has been appraised to prioritize the triage.
08/06
MIM team will liase network team tomorrow. Since stores are closed</t>
  </si>
  <si>
    <t>RIT (Retail Implementation Team)</t>
  </si>
  <si>
    <t>INC082</t>
  </si>
  <si>
    <t>Online Recovery - Product images unavailable in SPPD application for packing after the CHG128.</t>
  </si>
  <si>
    <t>This will Potentially Impact Packing Operations.</t>
  </si>
  <si>
    <t>10/06
15:50 - Received confirmation from Theo Waardenburg that the issue is resolved.
10:00 - Theo has confirmed to monitor the services until COP today before we resolve the incident.
09:20 - Requested for an update to Theo on the service restoration, Awaiting updates.
09/06
20:18 As part of CHG128, a step was missed to enable the image URL access from SPPD application, this has now been implemented to resolve the issue. Validations in progress
09:44 This incident is part of today's network prioritization. We will get a PM assigned and updates to follow.
07:00: The network PM has been appraised to prioritize the triage.
08/06
19:36 Update from Theo - Team has identified the root cause as:
CHG128 requested imagery access for both Honeywell and SPPD, only the honeywell change was added to the network implementation plan.
19:00 MIM team will liase network team tomorrow. Since stores are closed</t>
  </si>
  <si>
    <t>INC083</t>
  </si>
  <si>
    <t>Online Recovery - Online payments via Clear pay (payment type) failing in West Europe region (DR)</t>
  </si>
  <si>
    <t>Though .com transactions are currently unavailable, The incident needs to be resolved to help get the online services up tomorrow as planned. (Thus marked high priority)
Potential impact if the online transactions were available - Customers would have been unable make payments via clear pay (payment type) resulting in poor customer experience.</t>
  </si>
  <si>
    <t>09/06
12:00 As part of CHG189, payment URLs were supposed to be added to the North South Firewall (Azure Palo Alto), however, some URLs were missed as there were in a separate tab. Network team has now allowed the missing URLs into the North South Firewall to resolve the issue. JayePrabhu / Chris Etherington confirmed incident resolution
11:00 - MIM2 Bridge initiated with David Moggs, Paul Murphy, JayePrabhu (Payments Support) and Network team</t>
  </si>
  <si>
    <t>Chris Etherington / Jayeprabhu</t>
  </si>
  <si>
    <t>INC084</t>
  </si>
  <si>
    <t>Online Recovery - In prod005 cluster, the log is not pushed upstream due to kubelet upstream connection error</t>
  </si>
  <si>
    <t>Loss of monitoring capability for Stock Availability Service in readiness for the website go live</t>
  </si>
  <si>
    <t>09/06
14:37 - Serkan confirmed that the logs are now coming into New Relic for the Stock Availability service and is happy for the issue to be marked as resolved
14:00 - A new rule being implemented in the Azure Palo Alto firewall to fix the issue (fix forward on CHG326 - Paul Murphy from InfoSec has approved this on MIM2)
12:15 - MIM2 in progress with David Moggs, InfoSec, Network and Cloud Ops team</t>
  </si>
  <si>
    <t>CHG326</t>
  </si>
  <si>
    <t>Serkan Tugrul</t>
  </si>
  <si>
    <t>INC086</t>
  </si>
  <si>
    <t>Online Recovery - Google Captcha URL not accessible to track guest orders placed on the website</t>
  </si>
  <si>
    <t>Guest users will not be able to view, track or return their orders placed on the website</t>
  </si>
  <si>
    <t>09/06
17:35 - Issue resolved. Got a confirmation from Online and returns team (Andrei Alder). Network team addded www.google.com in the URL category which has the list of allowed URLs already for dotcom subnets in the Azure Palo Alto Firewall
15:00 MIM team to report the issue in the network command and control bridge</t>
  </si>
  <si>
    <t>Aravind Rajaveeraswamy</t>
  </si>
  <si>
    <t>INC091</t>
  </si>
  <si>
    <t>Potential threat to colleagues' personal data on the Return-to-Work application due to exposed data to a public endpoint</t>
  </si>
  <si>
    <t>Stores colleagues' names and email addresses on a SQL server that is publicly accessible, posing a potential data exposure. Data has not been exfiltrated or accessed so far. However, has a potential loss of PII data.</t>
  </si>
  <si>
    <t>11/06 - Validated with Mudassar Kazmi and was confirmed that the Return to Work application data is no łonger visible in the Wiz report - the application services have been successfully pointed to the private end point
10/06
14:20 - As the WIz reports gets refreshed every morning, we will receive a confirmation by tomorrow morning. ETA: 10:00, 11/06
12:00 - Grantly confirmed the application is pointed to the private end point, He is now validating the Wiz tool review the services. If it comes back clean, we will close the incident.
10:50 - Following up with Grantly if the activty to point the application to private end point is performed or not.
07:15 - similar to INC78 Colleague payroll data exposed to public end points via SDWorx services, but a different application in this instance.
The associated SQL Server is currently exposed via a public endpoint. However, there is no evidence that the data has been accessed or exfiltrated. The Network team has been made aware of the issue. The expectation is to point the application from public end to private end point. ETA: 10/06</t>
  </si>
  <si>
    <t>INC093</t>
  </si>
  <si>
    <t>Chester &amp; South Africa Contact Centre colleagues unable to place customer orders through PCI PAL Payment solution.</t>
  </si>
  <si>
    <t>Customers are unable to place orders through contact centre resulting in poor customer experience. Note: The call volume to the Contact centre is currently low today, awaiting count of impacted customer count.</t>
  </si>
  <si>
    <t>10/06 -
15:50 - Contact Centre has now confirmed that the issue is resolved and customers are able to place orders using PCI pal solution
15:00 - The 3 URLs were allowed to be accessed via contact centres after securing approval from Paul Murphy, David Moggs. Technical validations have been completed, awaiting confirmation from Contact Centre colleagues before we resolve the incident.
12:30 - Payments team have identified an issue with PCI pal payment service on the WCS screen used by Contact Centre Colleagues with an error message - "We cannot load the payment page". There are 3 URLs which need to be whitelisted within the network layer - this is currently being performed by Network team.</t>
  </si>
  <si>
    <t>WCS (Websphere Commerce Solution)</t>
  </si>
  <si>
    <t>Priyabrata Sahu</t>
  </si>
  <si>
    <t>INC094</t>
  </si>
  <si>
    <t>450 Capital colleagues across South Africa and Chester Contact Centre are unable to serve customers impacting customer experience</t>
  </si>
  <si>
    <t>15:00 - Once the script was run successfully and the synchronisation between on prem AD and Entra AD was completed, we could see all 450 Capita colleagues were enabled and received confirmation from colleagues that the issue is resolved. CHG334 has been held until the list of P accounts are reviewed to avoid further impact.
14:50 - A script was created with the list of Capita Colleagues to enable the P accounts - this is completed. The sync between onprem and Azure ADs are currently in process. We have Capita colleagues to perform spot checks. Currently we see 648 colleagues in both ADs (on prem &amp; Azure). Out of 648 colleagues, 450 were Capita colleagues.
14:30 AD team have identified a change - CHG334 to disable all P ids in MNSUK domain with "no activity" which is currently being rolled back. ETA : 20 mins. AD Team are preparing a script with 450 Capita Colleagues to enable the account - AD has advised that it wont require the Entra AD sync. As soon as the script is applied. the accounts should get enabled, we have contact centre stakeholders to validate.</t>
  </si>
  <si>
    <t>INC095</t>
  </si>
  <si>
    <t>Issues with FESK pipeline deployment</t>
  </si>
  <si>
    <t>Colleagues are unable to deploy any changes related to FESK through the automated pipeline solution.
Note: There is a critical customer facing change CHG335 planned for tomorrow which is currently at risk if the issue is not resolved. CHG335 - Enable "Track Delivery" from order list page.</t>
  </si>
  <si>
    <t>12/06 - The change window was preponed from today morning (3am - 5am) to last evening. As per the update provided by Ayo the CHG381 was implemented on 11/06 at 21:00 hrs. The online team validated the fix and confirmed that the issue can be marked as resolrved.
11/06 : 10:40 - Followed up with Andrei on the change number to identify the implementation window. Awaiting response.
08:30 - Andrei Alder is aware and will be adding the required IP's to an existing change to whitelist the URL's . Awaiting update on Change details. Next Update: 11:00 (11/06).
10/06 -
17:50 - We have confirmed with Network team that these IPs were not considered as part of the online MVP recovery, therefore, a separate changes needs to be raised with Infosec &amp; DA before presenting in the CAB process.
16:50 - After the Y account password reset, FESK application team are unable rotate the PAT (Personalised Access Token) within the pipeline and are receiving an error "Image Pull error". We believe that a firewall rule is blocking the source IPs which needs to be allowed. We have requested Alex Williams to assist with a network engineer.</t>
  </si>
  <si>
    <t>CHG381</t>
  </si>
  <si>
    <t>Prem Gopalan</t>
  </si>
  <si>
    <t>INC098</t>
  </si>
  <si>
    <t>Contact centres unable to issue goodwill vouchers to customers.</t>
  </si>
  <si>
    <t>The contact Centre are trying to issue goodwill vouchers. Currently the customers are not receiving the goodwill vouchers resulting in poor customer experience. Currently there are 1100 vouchers backloogged in the queue and the count keeps increasing.</t>
  </si>
  <si>
    <t>14/06 -
13:40 -Received confirmation from Chris Harrison that the backlogged vouchers are sent successfully to the customers and the BAU batches have been reinstated without any issues. Any residual issues will be addressed outside this incident.
09:00 - All the backlog vouchers were processed to the customers. Awaiting confirmation on the delivery of 35 unique vouchers to the customers and plan on 22 duplicate vouchers.
13/06:
19:00 - Follow up going on with Chris Harrison and Chris McGrath whether all the backlog vouchers are re-processed. After validating the duplicates, we have identified 35 (out of 57) unique vouchers and it's has been reprocessed, Awaiting confirmation whether its has been processed in downstreams.
11:00 All backlog vouchers are reprocessed and EM team to validate, while the 50 duplicates will be reviewed with CSSC team. Next update: 13/06 COP.
12:/06
23:00 - All backlog vouchers are reprocessed and EM team to validate, while the 50 duplicates will be reviewed with CSSC team.
15:45: Change implementation was successful (CHG427). After a confirmation on one of the customers's data validation which went successful as a next step, Team will run the job manually for the last 5 days to process 1.2 K jobs. Steve Siddall will validate the duplicate customer data on a separate CSV extract. As per the plan they will first target the non duplicate customer data and then the duplicate ones after validating these are the genuine ones.
The ETA has been set for now, tonight to get this manual job done as we all agreed this more important to get this done correctly than doing it quickly
12/06: 14:26: The CHG427 is now implemented awaiting Contact centre to valide the same.
12/06: 13:35: Tech resource that implemented the change confirmed that we are seeing denies on the firewall. Now preparing the implementation plan for archittect/infosec approval, and lining up the ECAB where x4 end-points that need whitelisting have been confirmed.
12/06 : Investigations confirmed that since 9th June, contact centres are unable to issue goodwill vouchers to M&amp;S customers and the volume that has been issued are currently backlogged in the queue - 1100. A MIM bride has been scaled up to investiagate the issue.</t>
  </si>
  <si>
    <t>CHG427</t>
  </si>
  <si>
    <t>INC100</t>
  </si>
  <si>
    <t>Drop in orders on the website between 17:45 and 18:25</t>
  </si>
  <si>
    <r>
      <t>Customers were unable to place orders on M&amp;S.com</t>
    </r>
    <r>
      <rPr>
        <sz val="10"/>
        <color rgb="FF000000"/>
        <rFont val="Aptos Narrow"/>
        <family val="2"/>
        <scheme val="minor"/>
      </rPr>
      <t xml:space="preserve"> as multiple products on the website were out of stock resulting in poor customer experience and loss of sales / revenue.</t>
    </r>
  </si>
  <si>
    <t>13/06 -
18:30 - MIM2 was opened to triage further which a business change was reverted in order to resolve the issue. Awaiting further informaton on the Change (The order volume on the website has come back to normal. Looks like this is on the back of a change which was reverted 18:25)</t>
  </si>
  <si>
    <t>OMS</t>
  </si>
  <si>
    <t>INC102</t>
  </si>
  <si>
    <t>Issues with Order fulfilment (OF) messages from Sterling(OMS) to Sherburn DC</t>
  </si>
  <si>
    <t>1. . Sherburn DC are currently unable to fulfil ecomm orders, there is NO impact to customer miss promises, as these are standard orders which have a delivery data of 10 days from the order date.
2. As the Start of Day file has not reached OMS from Sherburn, this will result in stock discrepancy between the DC and website - Potential risk of certain products going "Out of Stock" on the website.
3. Missing dispatch messages from Sherburn to Sterling - ASNs (Advanced Shipment Messages) impacting customer communication on the order delivery status.</t>
  </si>
  <si>
    <t>16/06 -
11:00 - Received an update from Hisham, the issue is resolved now, all the 742 orders which were triggered from OMS are processed now. The Ad-hock job was run from the Cloud Ops for the SOD and ASN's.
10:15 - Hisham confirmed, Sherburn is receiving the order now. This issue is resolved now, however, ASN files dispatch messages didn't run at 4 AM and the SOD files are pending which missed the 6 AM job runtime , Mukundan from integration team is working with Cloud Ops to get those jobs run on an ad-hock basis. This shouldn't take longer if the approvals are in place, hardly 30 min.
08:50 - OMS has not received any dispatch messages from Sherburn - customers would not be receiving the shipment comms for the orders being dispatched. GXO has confirmed a MQ issue at their end - which is currently being investigated, No ETA yet..
08:30 - Sherburn WMS is managed by vendor GXO. We believe there is a potential issue at GXO. The last successful OF triggered from OMS and reached Sherburn was midnight. Currently, there are 742 orders which were triggered from OMS but have not reached Sherburn. Initial investigations show no issues within OMS. Currently liaising with GXO to understand the issue and join the MIM bridge by 09:00.</t>
  </si>
  <si>
    <t>GXO Team</t>
  </si>
  <si>
    <t>Vipin Kumar (TCS - OMS TEAM)</t>
  </si>
  <si>
    <t>INC103</t>
  </si>
  <si>
    <t>Falcon agent installation in Travel Money Bureaus workstations</t>
  </si>
  <si>
    <t>LOYALITY&amp;FS Bank</t>
  </si>
  <si>
    <t>70 Travel Money Bureaus currently do not have Falcon agent installed in their workstation posing a risk to the security posture.</t>
  </si>
  <si>
    <t>26/06 - As the MECM is up now which allows Falcon installation to the Travel Bureau workstations, and there have been no blockers in the installation process. Therefore, we have received a confirmation from Nick Watson &amp; Sandhya Radhakrishnan (Engineering team) to resolve the incident.
25/06
16:15 - Validations underway to confirm if MECM has been pushed to all the workstations, Sandhya will get the report from Stores Infra team to confirm if all the Travel Money workstations have got MECM and thereby Falcon installation status. Next update: 26th June, 15:00
12:06 : Awaiting feedback from the team
07:19: As part of CHG476, the whitelisting activity of the VM's (Non SD WAN) was successfully implemented by the network team last night. Monitoring in progress until the change window. (status change from In progress to Being Monitored) (Feedback from Sandhya: It’s MECM installation, this should solve the falcon installation. however falcon installation is an ongoing script and only the same team can provide info on when it can be completed)
23/06
17:50 - As the MECM change CHG476 is on its last phase - MECM will be pushed to all NON SDWAN stores tonight. Majority of the SDWAN Stores have got Falcon installed on their laptops and we will further validate tomorrow once the NON SDWAN stores MECM change is completed. Next update - 24th June, 15:00
20/06
12:40 - Although we have MECM up for few stores and we have confirmed that the Falcon installation is successful for Travel Money Bureau Stores, Falcon installation is in progress for stores workstation having MECM. There is no mechanism to identify the workstation specific to Travel Bureaus, so we have requested for a list of workstations at Travel Bureau stores for prioritisation. As the change CHG476 is in flight and there are steps to install Falcon and down to monitoring we are expecting the next update - 25th June.
8:45 - The Phase 2 to bring up MECM for SDWAN stores was completed last night, phase 3 for NONSDWAN store is currently being planned with an intention to complete by 24th June. Follow up with Pritam/Sandhya on the Falcon installation status for the Travel Bureaus in the SDWAN store list. Next update: 12:00,
18/06 (SR)
15:00 - CHG476: MECM/Carbon Black - Ports opening and Crowdstrike deployment to all stores. 18.06.25 15.00 - 24.06.25 11.00 - conditional approval, infra yet to approve. This change will go in phases, We need to chase the Service Leads to get the further updates on a daily basis. Next update on 19/06
10:45 - The outcome of the meeting with Juniper team is that a Juniper resource has been prioritised for CHG476 today. The Juniper team will finalise their implementation plan to be presented at the 2pm CAB after which they will proceed with the implementation.
(SR) - CHG476 was to allow Falcon agent installation with initial implementation planned for 11 stores on 17/06. However, the change did not receive approval as planned due to a juniper related issue. Awaiting next steps following a discussion with the juniper team scheduled for 9.00am today (18/06).
17/06 - CHG476 is currently in planning phase to resolve the MECM issue at stores which will allow Falcon installation across all stores workstations. The change is planned for 3 days - starting with 11 stores today, SDWAN store son 18th and Non SDWAN stores on 19th. Next update on 19th June</t>
  </si>
  <si>
    <t>Stores Infra Team</t>
  </si>
  <si>
    <t>Sandhya Radhakrishnan</t>
  </si>
  <si>
    <t>INC104</t>
  </si>
  <si>
    <t>Blue Yonder Cirtix Netscaler Wildcard SSL certificate renewal impacting HR Blue Yonder &amp; Foods SRD application</t>
  </si>
  <si>
    <t>Blue Yonder - 109 HR colleagues are unable to perform timesheet related activities resulting in an inconvenience to colleagues in performing manaul timesheet data entry for store colleagues. Howver, there is no immediate impact to payrolls.
SRD - 60 Foods colleagues are unable to access SRD(Space Range &amp; Display) application impacting planning and contingeny work for Relex ordering.</t>
  </si>
  <si>
    <t>17/06
11:30 - Received confirmation from Mudassar and Lisy that both HR and Foods portfolio are now back into their systems. Retro Change CHG471 raised for the issue resolution.
10:49 : Mudazzar (Service Lead for HR) has confirmed all HR colleagues have got their Cert renewed and no further issues at their end. We await updates from Lisy w.r.t foods colleagues and also the retro change has been raised by Graeme Boag _ CHG471
16/06 -
14:00 - Majority of the Foods &amp; HR colleagues at office are now connected to the applications after downloading the certificate. Next update will come tomorrow from Mudassar and Lisy. Also, the retro change to be raised by Graeme Boag - Infosec approval shared to him
11:20 - With the help of Remote desktop team, we have now walked through the SOP to download the certificate in M&amp;S devices, it has worked as expected in few colleague's devices. We have now allowed the colleagues to download the certificates across their devices before we mark the incident as RESOLVED. This will be fitted with a retro change and we have verbal approval from Infosec. Getting in writing to provide to the relevant individual to submit the change form while activity is ongoing. Next update at 16:00.
10:30 - We have received verbal approval from Infosec to push the certificate to the colleagues' laptops to fix the issue. We are collating the list of colleagues before we get into a MIM bridge to push the certificate with the help of Remote Desktop team.
10:00 - There was an email from Blue Yonder notifying a certificate renewal within their landscape on 12/06 which has potentially caused the issue. We are liaising with Blue Yonder team to get the certificate details to renew it within the M&amp;S landscape to fix the issue.
Root cause - Due to an oversight by the HR team, the certificate was not renewed proactively.</t>
  </si>
  <si>
    <t>BlueYonder</t>
  </si>
  <si>
    <t>CHG471</t>
  </si>
  <si>
    <t>Mudassar Kazmi</t>
  </si>
  <si>
    <t>INC108</t>
  </si>
  <si>
    <t>Dropship: 20+ Brands that were scheduled to go live tomorrow (17/06), The team suspects that 5 URLs may be affected.</t>
  </si>
  <si>
    <t>20+ Brands cannot go live on the website tomorrow (17/06) resulting in potential loss of sales</t>
  </si>
  <si>
    <t>17/06 -
David Gillard has now confirmed the test orders are going thru successfully after the change implementation. All good from his side for the 20+ brands to go live on the website tomorrow. Icnident can be resolved now.
CHG475 has been approved in the CAB and the implementation window is between 11:00 and 14:00, awaiting updates on completion
16/06
Steve Warren confirmed that they are ready to go live for the 20+ brands tomorrow (17/06). CHG412 has been identified as the cause of this incident - Dropship Hardening. David Gillard is working with Alex Williams (Network team) to whitelist the missing URLs from the firewall. CHG475 will be presented in CAB tomorrow at 10 AM</t>
  </si>
  <si>
    <t>CHG475</t>
  </si>
  <si>
    <t>David Gillard</t>
  </si>
  <si>
    <t>INC109</t>
  </si>
  <si>
    <t>OMS (Order Managemnet System) queue manager has run out of space impacting the processing of online orders to the downstream systems</t>
  </si>
  <si>
    <t>Delay in the order processing between OMS and downstream systems. No customer impact as customers are able to place orders on the website without any issues, no impact to customer delivery as the orders are being placed with a 10 day delivery lead time.</t>
  </si>
  <si>
    <t>16/06 - Cloud Operations team has successfully increased the VM space, and messages have been cleared from the Queue Managers. The application team has confirmed that there are no further exceptions related to order processing messages. Additionally, the EM team will follow up on the space alerting conditions from New Relic.
MIM Bridge convened with OMS, WCS and Cloud Operations team for further investigation</t>
  </si>
  <si>
    <t>Andrei Adler</t>
  </si>
  <si>
    <t>INC110</t>
  </si>
  <si>
    <t>Website order confirmation emails (outbound) failing since 13:20, 16/06</t>
  </si>
  <si>
    <t>Since approximately 13:20 yesterday, 97k outbound emails, including order confirmation messages, have not been delivered to customers resulting in poor customer experience and potential increase of calls to the contact centre</t>
  </si>
  <si>
    <t>17/06
Resolution Steps: The network team worked on restoring the email flow by updating the necessary URL. By 19:08, all 97,000 emails were successfully replayed from the middleware. and by 20:30, email flow to the downstream systems has been confirmed as expected by the app team
20:15 - All 97K email have been processed around 19:08.
18:20 - 82k out of 97k emails have been processed. ETA for pending 15k is 19:30.
17:30 - 81k out of 97k emails have been processed. ETA for pending 16k is 18:30.
16:00 - 69k out of 97k emails have been processed. Pending 28k to be completed in the next 2 hours. ETA: 17:30
14:00 - 20k out of 100k emails have been processed. Pending 80k to be completed in the next 4 hours with 10k every 30 mins.
12:35 - NW change for the url whitelisting is completed now and the emails have started flowing. There's another url which has also been allowed now in the Firewall policy for address verification. The plan is to process the backlogs targeting 10K emails every 30 min or so. Total estimated time to finish the backlog is 5-6 hours. Awaiting retro change details Ram Sundar &amp; Kamal K.
11:10- Based on the investigation by NW team it was identified that an url needs to be added in the firewall whitelisting which was not part of the actual online recovery plan. Spoken with Alex Williams to get a change approved. Ram and Kamal are working on the change and get it approved.</t>
  </si>
  <si>
    <t>Hisham Khalid</t>
  </si>
  <si>
    <t>INC112</t>
  </si>
  <si>
    <t>ISF application crashing on store honeywells, currently 6 stores have reported the issue</t>
  </si>
  <si>
    <t>Stores colleagues are unable to fulfil the customer orders as the ISF app is crashing / freezing. Poor customer experience if the customers cannot collect their orders on time</t>
  </si>
  <si>
    <t>17/06: While reviewing namespaces for future deployments, the CSSM team found some pods in a crashloop state consuming excessive CPU and memory; these were removed as they were already in error. The ISF app, which typically handles SST API errors gracefully, encountered a different error due to the pod removal, causing it to hang on the loading screen. To resolve this, the team restored the pods, but SSL certificate issues—stemming from an incomplete renewal—caused further errors. Once both certificates were fully renewed at 20:00, the app resumed normal functionality.
17/06 - Investigations underway with the support teams on MIM1 bridge</t>
  </si>
  <si>
    <t>INC116</t>
  </si>
  <si>
    <t>Workplace tech have lost access to multiple Y accounts - requires new credentials</t>
  </si>
  <si>
    <t>The integration between MS form and power apps is currently affected impacting Job share for M&amp;S colleagues, property system administration, Glidepath, complains or BAU requests to Workplace Tech, Dynamic 365 integration.
Impacted Y accounts:
M&amp;S Job Share - Y0004930@marks-and-spencer.com
Property System Admin - Y6319756@mnscorp.net
Workplace Services Team - Y0004584@marks-and-spencers.com
Property Tech Admin - Y1648251@marks-and-spencer.com
Property PowerApps User Setup - Y0004974@marks-and-spencer.com
Glidepath - y0000102@mnscorp.net
M&amp;S Property Tech Dev - Y0136722@marks-and-spencer.com
Y3197282-(Used for D365) - Y3197282@marks-and-spencer.com</t>
  </si>
  <si>
    <t>19/06 -
15:15 - We have received confirmation from Soujanya Vuppu that they can log in to the application as expected. Inc being resolved
14:50 - The workplace tech team are in process of logging into the application services using the Y accounts. Next update at 16:00
11:41 - All the 8 Y accounts have been enabled by AD team and a walkthrough was done by the WPT engineer for 1 Y account on how to retreive the secret with the AD Team. The engineer is now going to perform the same activity for all other Y account and confirm back to the hypercare bridge once they are back into the applications. ETA : 13:00.
11:00 - AD team - Graham Rouston will now be resetting for the 8 accounts following the agreed process. The password for these accounts was last reset in 2024 and as per cyber security recommendations, AD team will now be resetting the passwords and share the access to the WPT engineer.</t>
  </si>
  <si>
    <t>Soujanya Vuppu</t>
  </si>
  <si>
    <t>INC117</t>
  </si>
  <si>
    <t>T account for Marks &amp; Spencer Rooms (M&amp;S hotel) system is currently not working - T2817428</t>
  </si>
  <si>
    <t>5 M&amp;S colleagues are unable to login to the Property Management System resulting in an inconvenience to address the guest checkin &amp; checkout process. Additionally, the email address, shared drives etc are currently inaccessible.</t>
  </si>
  <si>
    <t>19/06 -
15:00 Connected with Sandra again, one colleage in the shift at the moment and they back into operation aftet the T account password was reset. The issue can be resolved now
14:00 Connected with Sandra (Requestor), At the moment the priority is to reset the P account for those colleagues. We have received the P account details and shared those details with Susanne Reid from AD team. Pass reset is in progress. Once done, Colleagues will be informed.
13:00 - The T account Password was reset by the AD team, however the colleagues are still unable to log in since the laptop is still not in the M&amp;S network. We are trying to reach the DWS (Digital Workspace) team to help the user and connect to the M&amp;S network. Next update: 14:00
Since the cyber incident and the event of P account password reset, a T account was provisioned to access the Property Management system for 5 colleagues. After the P account password reset, only 1 colleague was able to reset their password successfully, remaining 4 colleagues were using the T account to access the property system.
Since the Y account password reset activity last evening, as this T account was unclaimed in the repository, this was disabled as part of this activity which caused the issue.
We are now with the AD team in the MIM bridge to enable the T account, reset the password and help the team to secure the keyvault credentials - similar process like Y accounts</t>
  </si>
  <si>
    <t>Sandra Lobo</t>
  </si>
  <si>
    <t>INC119</t>
  </si>
  <si>
    <t>Connectivity between STEP and PDX is broken impacting new suppliers onboarding to create new products</t>
  </si>
  <si>
    <t>FH&amp;B</t>
  </si>
  <si>
    <t>There are 9 new Brands suppliers which requires to be created in STEP to onboard the suppliers to login and create the new products. 9 brands across 1000+ products are currently impacted to be launched by September 2025.
There are subsequent activities after the suppliers onboarding which involves product creation, PO creation etc to fulfil successful product launch.</t>
  </si>
  <si>
    <t>25/06 -
11:41 - The connectivity between STEP and PDX is now working and business has confirmed that the incident is resolved.
11:00-CHG590 was raised as a retro change and we await validation statement from the business team before we resolve the incident.
24/06 -
17:45 - Upon receiving approval from Infosec &amp; Network DA (Phil Davies &amp; Zain Khan), the firewall rules have been added on the Azure PA core shared firewall between Dot com subnets (STEP application) and PDX 3rd party. Validations to be performed by business teams tomorrow morning. Next update on 11:00, 25/06 from Ashok Gunasekaran
16:00 - NW team have found the issue. They needed to add the PDX url in the firewall list as part of CHG291 on June 5th, however the url was missed from the actual requirement list. As a corrective action, they would add the url in the firewall through a new change. The implementation plan has already been shared. Network PM has already reached for Approval from InfoSec DA and Network Achitect. Based on the approval the change will be implemented as a fix forward. Michele will raise a retro change and will be presented in the CAB tomorrow at 10 AM.
13:00 - Network team would require to live troubleshoot the issue with the source and destination ip to collect some logs, however the colleague will only be available after 14:30, the MIM 3 bridge will reconvene at the 14:30. Next update 15:30
12:00 - MIM have just had a conversation with Louise Lunt on the priority, and she has requested fir some further details on financial impact (what if we cant meet September deadline), business point of contact and last date when it was working - before she prioritise this and give us an engineer. These details have been requested for and will be provided to Louise as soon as we have. Next update at 15:00
As the impact is now spread across 9 new Brands suppliers containing 1000+ products which will result in a delayed launch of these products, the severity of this incident is upgraded to P2.
22/06 8:30 : No update from NW team (NW team had providded updated for other prioritisation incidents)
19/06 - Initial investigations confirmed that the issue is caused due to a potential firewall config change within M&amp;S. We have advised the colleagues to check with Brands business on the severity of the impact by ascertaining forecasted product launch planning. Next update on 20/06.</t>
  </si>
  <si>
    <t>CHG590</t>
  </si>
  <si>
    <t>Vrushank Joshi/Ashok Gunasekaran/Mahesh Kumar Bala Krishnan</t>
  </si>
  <si>
    <t>INC126</t>
  </si>
  <si>
    <t>DC colleagues from Thorncliffe (Brands) are not able to access the LAN</t>
  </si>
  <si>
    <t>Manual picking is not affected. Colleagues are not able to track colleague operations to report to the wider stakeholder business. Any activity involved accessing the share point is affected</t>
  </si>
  <si>
    <t>22/06
08:26 - Network team update the link is now up and collegues can now connect via the LAN connection. Initially the GXO IT team tried a remote restart of their systems and this did not work. John Willis from City FM attended site restarted the UPS box and that restarted the GXO network.
22/06
07:40 -Vodafone routers are down as per initial investigations from Network. Vodafone incident raised NET13006385. Awaiting updates from Vodafone
Next update: 9 AM</t>
  </si>
  <si>
    <t>INC128</t>
  </si>
  <si>
    <t>2 Travel Money Bureau Stores unable to start in kiosk mode due to a AD connectivity issue</t>
  </si>
  <si>
    <t>2 Travel Money Bureau stores - Kew &amp; Cheshire Oaks are currently unable to serve customers for exchanging their currencies. This is also blocking the Travel Money Bureau go live to remaining 68 stores.</t>
  </si>
  <si>
    <t>25/06 -
15:30 - We have now received confirmation from both Cheshire Oaks and Kew that the issue is no longer observed after the tactical fix. The issue at Kew was more of a user fault, the keyboard is supposed to be used while closing the balance for GBP, as the colleagues were using Mouse, the issue arose, therefore, the issue is due to Eurochange and nothing to do with Carbon Black. This incident will now be resolved.
12:55 - We have tested for Cheshire Oaks the closing balance feature for GBP is working as expected. Chris Fenick is visiting Kew store by 15:00 to perform live testing on the same feature, if there are no issues at Kew, we will resolve the incident. There is a plan to scale up the travel bureau solution to more stores for efficient testing.
12:00 - After the tactical fix implementation on 24th June, there are some features that have stopped working at the 2 Travel Bureaus. A MIM is being opened to triage the issue with the Retail engineer (David Chaikin) and Chris F as a representative on one of the impacted store to live troubleshoot the issue. Next update at 15:00.
11:00 - Sandhya mentioned this morning that there are some residual issues observed on the 2 Travel Money Bureau stores. MIM have requested to gather the details and come to the hypercare bridge to proceed further. Next update : 15:00
24/06 -
17:30 - The tactical fix is now implemented and from the backend, we have confirmed Kew and Cheshire Oaks are working. Final validation with business teams to be completed by 11:00, 25th June. Next update 12:00, 25/06
17:10 - We have got an approval from James Sweeting (Infosec) that the tactical fix can be performed globally which would mean that both Kew and Cheshire Oaks can trade as expected. This would also resolve issue for any further Travel Money Bureau stores when they go live.
16:00 - A further call with AD &amp; Travel Money Bureau team was performed -
1. Tactical fix - whitelisting the script (when a user logs in - Powershell Script to establish connectivity to DNS server) in Carbon Black Console - Approvals are being secured from Infosec before we do the fix,
2. Permanent/ Long term fix - Resign the Powershell script - requires further planning. Next update: 17:00
14:30 - We have now identified with AD team that as part of the AD takeback and setting up new domain controllers, there are 2 domain controllers within the MNSSTORES domain which has caused the issue. These 2 legacy domain controllers are still being used by DFS (Distributed File system) server, however, these are not active anymore. The action agreed to resolve the issue is to remove these 2 domain controllers in the MNSSTORES domain which will fix the issue. Currently, AD team is preparing the implementation plan, get Infosec approvals before we implement the change as a fix forward. The change form will be then submitted as a retro change by AD Team. Next update - 16:30
12:00 - AD team is still working with the Travel Money team to understand the problem by simulating the issue and check if the issue persists with the Domain controller, however we also came to know there were no changes made at the AD level since Friday. The issue is currently being triaged in the SP Machine Halls. We will reconvene in the MIM bridge at 14:00. Next update at 15:00
10:51: Nick Watson, Sandhya Radhakrishna &amp; Farid Arab has joined from AD team on the MIM bridge 2, and triaging this accordingly. The next update will be 12:00 today.
10:29 - Elevated to P1 (CMT prioritisation). MIM 2 intiated (priority changed from P3 to P1)
09:15 - MIM will speak to AD Team to assign a resource to investigate the issue with Sandhya &amp; Travel Money Bureau Team, all back of CHG509 (Informational change - open up VPN tunnel) Implementation window 20/06 16:00 to 20/06 19:00</t>
  </si>
  <si>
    <t>Travel Money Bureau /Eurochange</t>
  </si>
  <si>
    <t>Vivek Marwaha/ Sandhya Radhakrishnan</t>
  </si>
  <si>
    <t>INC129</t>
  </si>
  <si>
    <t>Disable Store &amp; contact centre colleagues ability to amend customer email address of .com+</t>
  </si>
  <si>
    <t>There are 40 breaches of customer email address amendment as per the security policy posing a risk to our security posture, As per Infosec recommendations, it has been advised to disable the admin access to amend customer details on .com+</t>
  </si>
  <si>
    <t>24/06 -
13:00 - The technical fix under CHG549 - Identity:Revoke Colleague Assisted Change of Email is now completed, validations have confirmed that colleagues will no longer have access to amend customer email addresses. CHG549 will be presented in the 14:00 CAB today as a retro change
12:00 - AD team is still working with the Travel Money team to understand the problem by simulating the issue and check if the issue persists with the Domain controller, however we also came to know there were no changes made at the AD level since Friday. The issue is currently being triaged in the SP Machine Halls. We will reconvene in the MIM bridge at 14:00. Next update at 15:00
10:51: Nick Watson, Sandhya Radhakrishna &amp; Farid Arab has joined from AD team on the MIM bridge 2, and triaging this accordingly. The next update will be 12:00 today.
10:29 - Elevated to P1 (CMT prioritisation). MIM 2 intiated (priority changed from P3 to P1)
09:15 - MIM will speak to AD Team to assign a resource to investigate the issue with Sandhya &amp; Travel Money Bureau Team, all back of CHG509 (Informational change - open up VPN tunnel) Implementation window 20/06 16:00 to 20/06 19:00</t>
  </si>
  <si>
    <t>CHG549</t>
  </si>
  <si>
    <t>Simon Attard
Charlene
Satish Gopinathan</t>
  </si>
  <si>
    <t>INC134</t>
  </si>
  <si>
    <t>Intermittnet login issues to OMS (order management system) pods &amp; Availavility service pods within the OMS Cluster in azure</t>
  </si>
  <si>
    <t>After the online recovery, certain manual activities are being performed to keep the website &amp; financial reporting activity ongoing :
1. Order management system- Risk to the manual reporting activities performed by OMS team to generate the financial sales reporting through Baby Beam.
2. ⁠Availability service - Risk to the stock availability data in OMS for finalizing the customer orders during checkout as the availability service might not have sent the Start of Day (SOD) stock file to OMS.
NO CUSTOMER IMPACT.</t>
  </si>
  <si>
    <t>26/06 - (SSR) - 07:15 - The OMS application team has confirmed successful completion of the data upload required for financial reporting. Subsequently, the service lead (Hisham) validated the system’s stability and confirmed the incident can be marked as resolved.
25/06
23:50 Microsoft obsered huge spike in load than the usual and increased latency causing large number of errors in tunnel connections within API servers . Errors were observed between 18:28-18:50 UTC and started affecting the services at 19:09 UTC which is suspected to have caused the impact. Rajeev has been asked to review the application logs to identify the cause of the spike. It has been agreed with Hisham to keep the incident under monitoring until morning to watch for any further issue. Microsoft (2506250030009430) Sev A case was raised and has been engaged on the call for further understanding.
22:13 The issue began around 20:30, with the team experiencing API connectivity errors and significant delays in command execution. An error on the portal indicated a temporary connection issue between AKS agent nodes and the API server. By 23:10, the error message had cleared from the portal.
This was likely due to a Microsoft-related issue. Cloudops team restarting the connectivity pod restored service for us, and the situation is now being monitored.</t>
  </si>
  <si>
    <t>INC137</t>
  </si>
  <si>
    <t>Mitel Phones are not working at Thorncliffe DC after the power outage on 21st June</t>
  </si>
  <si>
    <t>After the power outage on 21st June, colleagues are unable to communicate on the Mitel Phones across the warehouse, impacting site wide communication affecting operational managerial activities &amp; emergency comms related to safety hazards. As part of the recovery, manual picking activity is performed, therefore, no impact to operations.
Note: Also ecomm operations will soon go live, the TANNOY system should be up to avoid impact to ecomm operations.</t>
  </si>
  <si>
    <t>25/07 - CHG1183 - Implementation Plan for to enable the communication from Thorncliffe DC-4459 was deployed successfully and we have received a confirmation from the warehouse that the issue is resolved.
25/07 - CHG1183 requires further changes to be made on the implementation plan as per Cyber Sec recommendations. Next update from Robert Hooper on 26th July, 14:00
2407-
18:04 - CHG1183 is still awaiting cyber approval after which the change will be presented in the CAB. Next update on 25th July, 14:00
23/07 -
17:00 -
16:50 - CHG1183 is still awaiting cyber approval after which the change will be presented in the CAB. Next update on 24th July, 17:00
11:30 - CHG1183 is still awaiting cyber approval after which the change will be presented in the CAB. Next update at 17:00
22/07 -
17:00 - The change is still awaiting Infosec approval and therefore, we are awaiting an update by 10:00. Next update at 11:30, 23rd July.
12:00 - Network PM has confirmed that Infosec approval is currently being secured, with an aim to present the CHG1183 in the 2pm CAB. Next update at 16:00
21/07 - Network PM (Robert Hooper) has advised that the change implementation plan is currently underway followed by relevant approvals. the plan is to present the change CHG1183 in the CAB tomorrow (timing to be decided) Next update at 15:00 on 22nd July
18/07-
17:00 - The network implementation plan is being written after which a change will be raised after securing all approvals from Network architect and Infosec before deployment. Next update at 14:00, 21st July.
14:00 - We have received the port details from Mitel and network team are currently reviewing the data after which an implementation plan will be created and follow the approval process before implementation under the change process. Next update at 17:30
17/07
17:20 - We have sent an email to Mitel and requested for the port details for Network team to write the implementation plan to put foward a change. Next update at 13:00 18th July based on Mitel inputs.
15:10- Update from MIM3 bridge. Mayank and Rajashekhar joined from Network team along with Nanda. The Network Team needs further details on the physical server and other technical details. Raja has shared the requirements with Nanda, and Nanda will take it up to the Mittel team using the same ticket that was raised with Mittel earlier. Mittel should respond back in 2-3 hours time (as per their SLA). Nanda will inform the MIM (in Hyper care) as soon as he gets a response from Mittel and then we can plan for the next call. ETA 19:00 today.
10:50 - MIM have spoken to Network PM - Manish Rai and a network engineer Naveen will be assigned for this incident after 14:00. Next update at 16:00
11/07
18:00 - Spoke Nanda (C&amp;H) Service Lead who confirmed that his workstream leads have been informed to speak to Network Workstream leads to prioritize the incident recovery. However, he is still awaiting an update from his workstream leads on the progress. Next update on 15th July, 15:00
04/07
12:30- Went to Network Bridge, informed the NW leads that considering the current impact at the DC the INC has been upgraded to P2. Michele, the NW Lead has informed there are 100+ items in their priority list. If this Mitel phone issue needs to be reprioritised, we need to talk to Louise Lunt or Chris P. No ETA at the moment
12:00 Incident priority upgraded to P2 as Thorncliffe (Brands) DC is now operational with Retail picking and Despatch and Ecomm operations are about to go live next week. There was an accident at the site yesterday and the casualty had to wait to receive first aid as the person attending to them had to physically walk around the warehouse to locate a trained first aider - makes life difficult without the phone system.
01/07:
10:00 - As the incident is a P3, and requires network assistance, we have now changed the status to "Prioritisation Required"
30/06:
17:00 - Vendor Mitel has confirmed that the issue is between the Mitel Server link and the core switch for the voice call from the desk phone to the Tannoy system and hence require further investigation by the network team. M&amp;S C&amp;H workstream leads have been advised to connect with the network stream lead to get this actioned. Next update at 15:00 on 1st July
27/06
21:30 - The Mitel engineer was unable to get into the facility due access issues. Operation manager was not onsite to escort the engineer further.
17:40 - The Mitel engineer is on the way to the site to work along with GXO team. C&amp;H Service lead (Nandakumar Sivalingam) has been advised to come to the bridge and provide an update by 22:00.
13:30 - An incident has been raised with Mitel and GXO engineers are now working with Mitel to fix the issue. Next update at 17:00
10:49 - We have advised the Service Lead (Nandakumar Sivalingam) to ask the GXO engineers at the site to reach out to Mitel team to troubleshoot further. Next update at 15:00.</t>
  </si>
  <si>
    <t>CHG1183</t>
  </si>
  <si>
    <t>INC142</t>
  </si>
  <si>
    <t>Carbon Black Production Server 8.1 not accessible i.e. all end points will be disconnected and no new files can be approved for execution</t>
  </si>
  <si>
    <t>No impact to trade, however, we have lost a production service and this may impact our ability to deploy Carbon Black 8.11</t>
  </si>
  <si>
    <t>02/07
13:30 - The Carbon Black server 8.1 is stable and the team can continue rolling out 8.11 to pilot stores, therefore, this incident is being resolved
01/07
13:30 - The fix forward was performed by Network team with Infosec approval and this has fixed the asymmetric routing issue at the stores. We are monitoring the stability until tomorrow morning before we resolved. Awaiting fix forward details from Network. Next Update on 2nd July 12 noon
12:30 - We have a fix forward being planned as we speak to fix the asymmetric routing issue on Carbon Black server. We are awaiting Infosec's approval after which the fix forward will be performed and a retro change will be logged. I will come back with details on Carbon Black fix.Next update on 13:30, 1st July
10:45 - Although the Carbon Black server is accessible and communicating with stores/clients, there are some asymmetric issues identified which is causing Carbon Black 8.1 as an unstable service. MIM bridge will be spun up at 11:00 with Wintel and AD team for further troubleshooting. ETA : 12:30. This incident status is now being changed to "In Progress"
30/06 -
19:51 : Status moves to " Being Monitored" - During the server recovery ( as part of Falcon installation), default M&amp;S gateway settings were applied as the exact details weren’t stored, and a recent Y-account password reset added to the issue. When the server restarted on Friday, the cache was cleared, causing it to go down due to the incorrect gateway and outdated credentials. The Wintel team (Dharma) resolved the issue by updating the correct gateway configuration and applying the updated Y-account credentials by 18:00. Please follow up with David Chaikin for final confirmation tomorrow, 1/7.
18:00 - Kamal from Network has updated that after the restart of the server, it has got an incorrect gateway IP address which requires to be corrected to resolve the issue. Next update at 21:00
17:00 - As part of INC143 - 5 Travel Money bureaus were unable to trade, a tactical fix was applied to 2 stores which included low enforcement rule with reduced security measures. (Remaining 3 stores were resolved with a Network fix). This was approved by Infosec for only 24 hours and we are currently working with Network team to devise a plan overnight to bring up Carbon Black server to be able to deploy Travel Bureau fixes with security regulations.
Next Update: 11:00, 1st July
15:58 - We are increasing the priority to P2, as INC143 requires Carbon Black server to be up as the alternate option is to reduce security posture to the Travel Money kiosks.
10:00 - Wintel team to catch up with Network team to devise a plan in fixing the domain joining issue with the Carbon Black server. Next update at 16:00
28/06 - MIM spoke to Dineshbabu (Wintel team) who confirmed that there are 2 issues which needs to be fixed to resolve the Carbon Black server issue-
a)The domain is not connected to the Carbon Black server - this needs a Network fix.
b) Once the domain joining is completed, the new Y account password will need to be applied to bring up the SQL service to resolve the Carbon Black server issue.
Note: Same Y account password reset issue done on 17th June as part of CHG455 and due to the cache, it had been working till date, on 27th June, the server was rebooted and lost connectivity.
Next update on 30th June, 14:00.
27/06
20:05 - Dharma from Wintel team is already working on the resolution plan.</t>
  </si>
  <si>
    <t>Nick Watson</t>
  </si>
  <si>
    <t>INC143</t>
  </si>
  <si>
    <t>5 Travel Bureau stores unable to trade :
1. Two Non SDWAN stores (Westfield White City, Braehead) - local store proxy server set up issue
2. Three SDWAN stores (Cardiff, Hedge End, Chelmsford) a) Cardiff, Hedge End - Workstation hardening issue being worked upon by RIT &amp; SIT
b) Chelmsford - Tills are not rebooting in kiosk mode</t>
  </si>
  <si>
    <t>5 Travel Money Bureau stores are currently not able to serve customers in exchanging currencies through card. Note: Stores are able to trade manually using cash.
Note: There are 7 Travel Money Bureaus which are live at the moment. This is also impacting the go live of the remaining 63 stores on 2nd June.</t>
  </si>
  <si>
    <t>30/06
17:00 - All the 5 stores are now able to trade, however, there is one till at Braehead which is still impacted and this will get fixed as part of INC142 when the Carbon Black server is up and running. Therefore, this incident is being resolved.
15:00: All the 5 stores are currently working now (3 SDWAN and 2 Non-SDWAN)
There were 2 separate issues for SD-WAN and Non-SD-WAN stores -
1. 3 SD WAN stores: Applied low enforcement rules which basically lowers the security posture for Chelmsford. We are awaiting Infosec approval for the low enforcement before the 2 stores are back to trading, There were Crowdstrike issues with the other 2 - Hedge End &amp; Cardiff - RESOLVED.
2. 2 Non- SD WAN stores: NW team opened the port 443 with infoSec approval as a fix forward. Retrospectively an emergency change will be raised by the Network PM.
Next steps:
To be able to successfully scale up the Travel Bureau stores:
1. SDWAN stores - Get approval from Infosec to apply the low enforcement to the pending stores or fix INC142 - Bring up Carbon Black server. The solution through Carbon Black is tested and will be straight forward for Travel Bureaus.
2. Non SDWAN stores - Network team are planning a change to open the port 443 at 10am after securing relevant approvals from Network DA, Infosec etc
13:30 - 3:30 - We have multiple issues with the store servers, logon scripts across the 5 Travel Bureau stores, Currently we have two options :
a) Fix IN142 - Carbon Black server is down and it requires resolution to fix the Travel Bureau issues.
b) If we cant fix INC142, there is a tactical law inforcement fix which is currently being worked through. Next update: 17:30
12:29 - MIM bridge being opened to triage the issue with Network, RIT &amp; SIT.</t>
  </si>
  <si>
    <t>CHG679</t>
  </si>
  <si>
    <t>INC147</t>
  </si>
  <si>
    <t>Customers unable to checkout on the website</t>
  </si>
  <si>
    <t>Customers are unable to check out on the website resulting in loss of sales &amp; poor customer experience. Note: Mobile Apps were not impacted (no issue with iOS and Android apps).</t>
  </si>
  <si>
    <t>01/07
16:12 - The change has caused the issue and therefore it was reverted to resolve the issue at 15:50.
15:50 - We believe a potential Akamai change related to the header size CHG682 - Update CSP RO header in production on the website has caused the issue. We are in process of reverting the change. ETA : 10 to 15 mins</t>
  </si>
  <si>
    <t>Akamai</t>
  </si>
  <si>
    <t xml:space="preserve">The initial root cause is attributed to a change CHG682- 'Update CSP-RO header in production' had caused the issue. RCA to be determined </t>
  </si>
  <si>
    <t>Yes</t>
  </si>
  <si>
    <t>Change Failure</t>
  </si>
  <si>
    <t>INC152</t>
  </si>
  <si>
    <t>TRAS (Tactical Remote Access Solution) - Missed implementation of conditional access policies for geo-restrictions (Greece, Ireland, India, UK and Czech Republic).</t>
  </si>
  <si>
    <t>As the TRAS service has been made live to be used by the colleagues, this poses a security risk across the locations.</t>
  </si>
  <si>
    <t>18:10 - As part of CHG633 - Remote Access to MultiDestination server - the conditional access policy was missed and therefore, once TRAS (Tactical Remote Access Solution) was made live, this was posing a security risk as anyone across geography could access Remote connection. Therefore, as a quick fix forward, the conditional access policy was added to restrict the access only to the defined geographies.
17:54 - AD Team will be put a fix forward by adding the conditional access policy (country restrictions) to the TRAS service in Entra AD.</t>
  </si>
  <si>
    <t>CHG774</t>
  </si>
  <si>
    <t>Matt Dibble</t>
  </si>
  <si>
    <t xml:space="preserve">Recovery </t>
  </si>
  <si>
    <t>Root cause has be attributed to inadvertant miss in applying the conditional access policy when TRAS (Tactical Remote Access Solution) was made live as part of the change CHG633- Remote Access to MultiDestination server</t>
  </si>
  <si>
    <t>No</t>
  </si>
  <si>
    <t>INC154</t>
  </si>
  <si>
    <t>HHT's (Hand Held Terminals) not accessible at Hemel DC impacting Picking, Packing and Despatch Operations</t>
  </si>
  <si>
    <t>DC operations impacted at Hemel DC between 11:50 and 12:47. DC colleagues were unable to perform picking, packing and despatch operations as the HHTs were not usable.</t>
  </si>
  <si>
    <t>14:30
Nanda (Service Lead) confirmed that the HHTs at Hemel DC are operating as expected and that the site manager is happy for the incident to be resolved.
13:52 -
Hemel WMS database went into a hung state as the archive log file system on the database was full. This resulted in any new sessions / transactions connecting to the database impacting site operations as the HHTs were not usable. In order to resolve the issue, Oracle database team allocated 10 GB extra space to the Archive Log file system at 12:47 after which we can see the WMS database is accessible. Site Operations team confirmed the HHTs are now operational as expected. Incident will be monitored until 14:30 to get a final confirmation from the site before moving it to closure.
12:15 WMS team investigating on MIM1 bridge</t>
  </si>
  <si>
    <t>Database</t>
  </si>
  <si>
    <t xml:space="preserve">BAU </t>
  </si>
  <si>
    <t>The initial root cause is attributed to the archive log file system reaching full capacity, which caused the Hemel WMS (Warehouse Management System) database to enter a hung state</t>
  </si>
  <si>
    <t>Yes (Temp Solution)</t>
  </si>
  <si>
    <t>Capacity (Lack of Alerting)</t>
  </si>
  <si>
    <t>INC156</t>
  </si>
  <si>
    <t>M&amp;S homepage banners not visible on mobile apps (iOS and android)
Note : Website remains unaffected.</t>
  </si>
  <si>
    <t>Customers are unable to view the new promotions/ products on the M&amp;S homepage banners on the mobile apps (iOS and Android) resulting in a poor customer experience.
Note: Mobile Web and website remains unaffected.</t>
  </si>
  <si>
    <t>07/07 - INC156 (P2) M&amp;S homepage banners not visible on mobile apps (iOS and android) was raised over the weekend and identified as being caused by MC081 (Mini Cab 081) which was a business change deployed at 23:55 on 4th July by BPS team (Business Process Services) under MC081 (Mini Cab 081) to publish the new content on the M&amp;S website. It was thought that one of the Personalisation API keys in APIGEE had reached its threshold which caused the change sync job to fail, triggering the incident. However on the 7th July it has been determined that the MC081 change did not trigger the incident. A DNS group on the Dev environment has been non-functional since the cyber incident and was only restored on last Friday around 7 PM. During this restoration, a Dev metadata job ran unexpectedly. Due to the absence of scoring data, this triggered a re-tagging process, which in turn exhausted the APIGEE rate limits. When the Prod environment attempted to run during the night job (around a similar time to MC081 being implemented), it failed due to the exceeded APIGEE limits, resulting in the homepage content not displaying.
Given the similar timeframes, it was deduced the change caused the incident, not run job on the Prod environment
05/07
12:30 - It was confirmed that one of the Personalisation API key in APIGEE had reached its threshold which caused the sync job to fail. This will be permanently fixed by Monday, 7th July. This would NOT pose a risk as there is no further content planned for the weekend. The services have remained stable and the issue is being resolved.
11:25 - A business change was deployed at 23:55 by BPS team (Business Process Services) under MC081 (Mini Cab 081) to publish the new content on the M&amp;S website. Mobile apps use a Personalisation element to publish the content on the M&amp;S mobile apps - after the change due to an unknown reason the sync job which syncs the content between Contentful &amp; Personalisation had failed which caused the issue. Personalisation team had manually reran the sync job which has fixed the issue. As there were no issues with webiste and mobile web, the change is not considered as a failure. . The incident is being monitored for the next hour.
10:57 -A change was deployed on 4th July to publish the new content on the M&amp;S website which has resulted in a cascading impact to the mobile apps, investigations in progress on a MIM bridge. Change details to be identified once the issue is resolved. Next update at 11:45.</t>
  </si>
  <si>
    <t>M&amp;S.com Personalisation</t>
  </si>
  <si>
    <t>Priyabarta Sahu</t>
  </si>
  <si>
    <t>The incident was caused by an unexpected Dev metadata job triggered during the restoration of a DNS group in the Dev environment, which had been non-functional since the cyber incident and was restored on 04/07, 19:00 This job initiated a re-tagging process due to missing scoring data, exhausting APIGEE rate limits. As a result, the Prod sync job failed, leading to missing homepage banners on mobile apps. The issue was initially misattributed to a business change (MC081), but later confirmed to be unrelated.</t>
  </si>
  <si>
    <t>Newness due to Recovery</t>
  </si>
  <si>
    <t>INC158</t>
  </si>
  <si>
    <t>Issue with Travel Money Bureau stores resulting in a poor customer experience</t>
  </si>
  <si>
    <t>23/07:
7 NONSDWAN Travel Money stores are unable to exchange currencies through card payment resulting in a loss of revenue.
Stores - Pantheon, Perth, Lisburn. Manchester, White City, Edinburg Kinnead, Braehead)
07/07 :
Stores are unable to exchange currencies through card payments resulting in loss of revenue.
Note: Cash is working as expected.</t>
  </si>
  <si>
    <r>
      <t xml:space="preserve">01/08:
14:28 - We have received update from all the stores overnight that they are all back in business and no issues experienced since the firewall changes made at the FortiGate Firewall Manager.  As agreed with the business if there's no further issues reported until 2 PM, we are resolving the Incident 
31/07: 14:00 - Yesterday the incident was moved back to "In Progress" from "Being Monitored". This morning, the Network team found the root cause of the issue. They found a bug in the FortiGate Firewall policy which was blocking the traffic for one of the Verifone Ip Adresses that was related SSL verification. As a workaround the Network team has done a fix forward with the approval from the Infosec team and bypassed the SSL verification for that particular Ip address from Verifone. Post Change implementation, we have validated in the FortiGate analyzer, all the transactions from the Effected stores/Tills and all of them went successful. Now we have also started getting responses from the Stores (Lisburn, Perth, and Pantheon). We are yet to get the feedback from few more stores (Edinburgh Kinnard, Braehead, Manchester, and White City) until then the Incident will remain in "Being Monitored". Next </t>
    </r>
    <r>
      <rPr>
        <b/>
        <sz val="10"/>
        <color rgb="FF000000"/>
        <rFont val="Aptos Narrow"/>
        <family val="2"/>
        <scheme val="minor"/>
      </rPr>
      <t xml:space="preserve">Update 01/08 14:00 Hrs.
</t>
    </r>
    <r>
      <rPr>
        <sz val="10"/>
        <color rgb="FF000000"/>
        <rFont val="Aptos Narrow"/>
        <family val="2"/>
        <scheme val="minor"/>
      </rPr>
      <t xml:space="preserve">
30/07 - 17:00 - Further investigation by the Network team revealed the Ips which were already whitelisted for some of the effected Tills at the effected stores still giving payment failure error. We have asked Eurochange and Verifone to investigate that further and share more logs. We will reconvene our call again at 11:30 AM tomorrow. Next Update 2 PM 31st July. 
12:00 - The incident has been moved back to "In Progress". There are multiple store (Edinburgh Kinnar, White City, Braehead, Manchester, Lisburn, Pantheon, Perth) reporting Slowness to Authorise Transactions and Unexpected Payment Error. We have started a seperate call with the Network team and EC/VeriFone to investigate the logs. Next update: 30/07, 17:00, 
where 
29/07 - 
12:10 - Chris Fenwick tried to reach out few of the stores to validate post yesterday's change by the Network team if there's any further issues persist there. However he hasn't heard anything back from any of the stores yet. We agreed to keep the Incident under Monitoring until tomorrow 11 AM, by then Chris is expecting some response from the stores. Net update: 30th Jul, 11:30 AM
28/07 - 17:30 - It was identified that there was a recent failover testing done by Verifone through which they moved to Seconadary Server and the necessary urls/ip addresses were never shared with the network team earlier. The additional firewall configurations based on the verifone secodary server ips/urls were added to fix the issue, however we would still need to validate that directly with the store colleagues. For now we are going to keep the INC under "Being Monitored" and will reconvene our call tomorrow at 11 to validate with the store colleagues. Next update on 29th Jul, 14:00
13:00 - EC and Verifone have shared some logs for one of the effected stores showing there's something blocking from M&amp;S network in the payment gateway API to reach verifone Cloud internet. Network team is still analysing the logs at their end in the Fortigate. Investigation is still going on. Next update is at 17:00
25/07-
18:00 - After the implementation of Eurochange timeout config settings from 100s to 360s, the issue behaviour has not significantly improved, however, we have seen more successful payments. This requires further investigation with Eurochange &amp; verifone. Also we are awaiting Verifone logs from Eurochange to investigate from a network perspective. Next update on 28th July, 13:00
10:00 - Overnight post change implementment to amend the timeout from 100s to 360 there are less issues observed at the stores and it seems containable. However for 7 stores there are other new issues that have popped up related to "Unexpected Payment error", "Internal Server error" and "Script error". We have asked the Euro Change team to analyse the logs and Data and come up with more conclusive analysis on these issues. We will reconvene the meeting MIM1 on Monday 10:30 AM. Next Update Monday, 28th Jul at 12:00.
24/07
16:30 - The Xtris app timeout config will be amended from 100s to 360 s overnight and we will validate with the stores tomorrow mornimg. Next update at 12:00 on 25th July.
14:00 - We are awaiting an update from Eurochange to confirm on the log analysis from Verifone to determine the reason behind the payment errors. Also, we have been advised that the Xtris application timeout config will be amended from 100s to 360s overnight by Eurochange. Next update at 17:00 on 24th July.
12:00 - Verifone has confirmed that they could see a timeout issue and a 502 gateway error within their infrastructure which is currently being looked at. Eurochange will be amending the timeout configuration from 100s to 150s and validate the customer experience. For the gateway error, investigations are ongoing and we will get a further update from Eurochange by 16:00.
23/07
17:30 - Further investigations into the payment failure indicated a timeout occurring from Eurochange to Verifone. Therefore, Eurochange has now raised a criticl priority ticket with Verfione to pursue further investigation and identify resolution steps. We are recinvening at 10:00, 24th July. Next update at 12:00, 24th July.
16:30 - Eurochange have clarified that they are observing an issue with Verifone and therefore, a critical case is being raised with Verifone. Verifone is the payment partner for Eurochange and they are being managed by Eurochange. We are awaiting a feedback from Verifone through Eurochange. Next update at 18:30.
15:00 - Initial investigations from Eurochange has not materialised any significant informations which could be causing the issue. This has now been escalated to the next level of technical expertise within Eurochange to understand the issue between Verifone POS cloud and Xtris server (owened by Eurochange) Next update at 16:30.
13:30 - We have now got Eurochange engineer on the call investigating the payment authorisation issue, it is believed that this MIGHT not be a network issue, however, this is yet to be determined. Next update at 15:00
12:20 - We have thoroughly validated the network logs and through store testing we have confirmed that the backend payment authrorisation within Eurochange works as expected - therefore, it is belived that there could be a handshake issue between POS cloud (Verifone) and Eurochange application (Xtris). We are awaiting a Eurochange engineer at 13:00. Therefore, we will now utilise this time to triage INC192. Next update at 15:00.
11:30 - Network team are currently investigating the firewall logs, initial understanding is we are not observing any deny/errors on the firewall logs. We have a live store testing at Braehead to identify the issue. Next update at 13:00
10:18 - 7 stores (out of 71) non SD WAN Stores are unable to take card payments via PEDs resulting in poor customer experience and revenue loss. Cash transactions are not impacted. Network team investigating on MIM Bridge.
22/07
12:10 - Out of 71 stores, 68 stores are currently operational, 2 stores (Lisburn and Manchester) under operational recovery and 1 store - Pantheon is currently being investigated - although our backend checks are not showing any issues, we have advised the store colleague to validate and feed back. Next update on 23rd July, 14:00
21/07 -
16:00 - We are awaiting business validations for the impacted 4 stores from the business teams to confirm if it is working as expected. It has been agreed that the permanent fix will be incorporated as per the build of the tills before rolling out to further stores. Next update at 12:00 on 22nd July.
09:00 - The state of play remains the same. Out of 71 stores, currently 67 stores are operational, 3 stores are currently under operational recovery and 1 store has issues and requires further investigations. Stores infra will be uploading the certificate to the tills build as a permanent fix. Next update at 16:00
18/07 - Out of 71 stores, currently 67 stores are operational, 3 stores are currently under operational recovery and 1 store has issues and requires further investigations. Store Infra team will need to work with AD Team to identiy a sustainable approach on the certificate issue. Next update on 21st July, 12:00
17/07 -
17:30 - Out of 71 Travel Bureaus, 66 stores are currently operational. The certificate issue with 4 stores will be mitiagated by manually updating the intermediate certificate to one device each store by the Stores Infra team tonight, however this is not a sustainable solution. Therefore, Stores infra team will raise a case with Microsoft to deep dive further into the certificate vs user profile issue. There is 1 store which is undergoing operational recovery and will get an update by 12:00, 18th July
15:30 - Eurochange has denied the fact of an issue with their intermediate certificate. This requires an extensive network tracing which will happen at 16:00. Next update at 17:30
11:00 - We are awaiting Eurochange engineer to action on the certificate update, this is being escalated by product manager at M&amp;S. Next update at 15:00
16/07 -
21:00 Out of the 71, 66 stores are now live and trading. Potential root cause identified and tactical fix applied for Whitecity. Awaiting fix to be applied from Eurochange for the other stores Perth, Lisburn, Pantheon, and Manchester. Braehead, Edinburgh Kinnaird, and White City are trading but have a PED connectivity issue. Next update : 17/07 12:00
16:20 - Out of 71 Travel Bureaus, 64 stores are currently operational. We have now ascertained that a intermediate certificate issue at Eurochange is causing the "private connection error" across 7 Travel Bureaus. We have advised Eurochange to upload a new intermediate certificate to fix the issue. Awaiting an update from Eurochange by 12:00 17/07
13:20 - Out of 71 Travel Bureau stores, 64 stores are currently operational, below are the stats for the pending stores:
- 6 stores have "Private Connection error", this is being investigated by network and stores infra. We understand a SSL error due to a certificate issue between the Xtris webserver and client device - this is occurring predominantly for non SDWAN stores.
- 1 store requires Ignite support. Next update at 16:00.
15/07:
16:30 - Out of 71 Travel Bureau stores, 65 stores are currently operational. below are the stats for the pending stores:
- 5 stores currently require collaboration from Network &amp; stores infra. We have identified a SSL error due to a certificate issue between the Xtris webserver and client device. The issue occurs with new user profiles trying to access Eurochange through Edge. This further requires a network tracing between the webserver and the client device to identify the issue. There is a call scheduled at 12:00 on 16th July and
- 1 store requires Ignite vendor to fix.
Next update at 14:00, 16th July.
13:00 - Through the MIM call, the issue with 2 Travel Bureaus (Tamworth, Stirling) are resolved by implementing missing Juniper configs. Currently, 66 stores are operational (2 stores are fixed and awaiting store validations), pending 4 stores are being worked upon by Stores Infra team, 1 store are currently under operational recovery. A call is scheduled at 14:00 to understand latest state of actions. Next update at 15:00.
11:10 - The call is ongoing with Stores Infra and Network team to troubleshoot the issue with non SDWAN Travel Bureaus. The stats remain same - Out of 71, 64 stores are operational and 7 stores are currently being investigated.
2 stores are being investigated by Network - requires Juniper configurations - In Progress
4 stores are currently not trading - being investigated by Stores Infra and Network.
1 store under operational recovery
Next update at 14:00.
09:00 - call scheduled by MIM at 10:30 AM 15/07. The next update will be shared at 13:00 15/07.
14/07:
17:30: We have opened a bridge for more extensive troubleshooting involving the Retail Infra team and the Network engineer. Unfortunately No conclusinve root cause or resolution was found. Network team suggested RIT team to check if they can bypass the store proxy server for the SDWAN stores workstations. All TK devices traffic are out of Proxy server now, but there are different issues being identified across different stores. Some of the store Tills/WS are showing Certificate error. RIT team did a GPO update and rebooted some of the store devices but that didn't help. Deepak from the RIT team is now comparing the logs between working Store device Vs Non working store devices. MIM needs to set up another call with the team tomorrow morning again. Effected store counts remain the same.
12/07
19:00 - Out of 71 Travel Money Bureaus, 63 stores are currently operational.
-5 stores have issues which requires further investigations with Network team.
-2 stores are currently under operational recovery
- 1 store has been planned for RIT activity.
Next update at 15:00, 14th July
11/07
11:00
- Out of the 71 Travel Money Bureau stores, 62 stores are fully operational
- 6 stores have a way forward with operational recovery pending with EuroChange, no actions pending with D&amp;T and hopefully all these stores will be operational by Monday (14/07)
- 3 Stores have issues (Tamworth, Stirling and Perth) which will have to be further investigated by Nick Watson's team. Nick Watson advised that his team does not have bandwidth today as there are MECM and Carbon Black changes being planned / implemented. If not today, the team will investigate on Monday, both Sandhya and Chris Fenwick are fully aligned and happy with the approach. Next checkpoint call Monday, 14/07 at 12:00 PM
10/07:
13:30 - After CHG679 was implemented, 5 Travel Bureau Stores (Non SDWAN) are now operational. We currently have 11 Travel Bureau stores that are non operational.
- 2 Stores have PED related issues (One store requires a DN engineer visit to swap the PED, this is arranged for tomorrow and the other stores has issues which need to be investigated by Euro Change (3rd party vendor)
- 9 Stores (8 SDWAN and 1 Non SDWAN) have a specific error on their tills and this is currently being jointly investigated by SIT and Stores Infra team. Based on the outcome, we will then confirm if the stores require a DN engineer visit. Please note, this may take some time due to resource constraints and the change work planned (Carbon Black, MECM etc) as confirmed by Nick Watson. Sandhya is fully aware and is apprised of the current situation. Call scheduled for 11 AM tomorrow (11/07)
09/07 :
17:40 - 8 out of 21 Travel Bureaus are currently operational. Pending Non SDWAN stores are being fixed forward by Network team under CHG679 (the change window extended to 10th July for store validations), Remaining stores are being worked upon by SIT and Stores Infra team. Next update at 12:00 on 10th July.
11:30 - 9 out of 21 Travel Bureau stores are currently operational. Pending 6 NON SDWAN stores are being fixed forward by the Network team under CHG679 and remaining 6 SDWAN stores are being worked upon by Stores Infra and SIT team. Next update at 17:00.
08/07 :
17:30 - 9 out of 21 Travel Bureau stores are currently operational. Pending 6 NON SDWAN stores - store tills issues are fixed, however, investigations continue for the travel Kioks &amp; 2 SDWAN stores are being investigated by SIT &amp; DN. Next update at 14:00, 9th July
12:30 - 6 out of 17 Travel Bureaus issues were fixed by DN and SIT, store validations are underway. Out of the pending 11 stores - 6 NONSDWAN stores are being investigated by Network team, and remaining 5 are being triaged by DN, SIT team. Next update at 17:00.
10:00 AK: The impacted Travel bureau stores are being checked by DN engineer, SIT team, stores infra, and we will receive a progress update by 14:00
07/07 -
17:00 - One out of 17 stores is now operational after restarting the store server by SIT (Software Implementation Team).
a) 7 SDWnstores are pending DN visit , POC - Valliammai Ramasamy.
b) 6 Non SDWAN stores - pending for Network investigation. POC : Robert Hooper
c) 3 Stores - Being worked upon by SIT &amp; Stores Infra. (1 store is fixed) POC: Valliammai Ramasamy. Next Update at 10:00, 8th July.
15:40 - We have now identified that 7 stores have been allocated for DN engineer visit to fix the store server issue, 6 NON SDWAN stores require further checks by Network team as part of CHG679 (awaiting network resource) and 4 stores require further investigation by SIT and Stores Infra team. Next update at 17;30
14:30 - Investigation continues however, we have got 3 different scenarios involving reboot of proxy servers by SIT (Software Implementation team), DN engineer visits and Store Infra troubleshooting. All the 3 actions are being performed at the moment to workaround the connection issues between the store tills to the store proxy servers. As part of the cyber incident, central proxy server is down which is causing the issues and currently there is no recovery plan to bring it up. Next update at 17:00
12:00 - The Stores Infra team is still investigating the issue, They have some engineers at a few of the stores to manually reboot the Proxy Server and see if that fixes the issue. There's still not much clarity on the root cause and the Store Infra team will continue to trouble shoot for the next two hours. We will reconvene the MIM bridge at 13:30 again</t>
    </r>
  </si>
  <si>
    <t xml:space="preserve">awaiting Retro change </t>
  </si>
  <si>
    <t>A bug in the FortiGate Firewall policy was blocking traffic to a Verifone IP address related to SSL verification. This caused transaction failures at impacted stores. As a workaround, the Network team, with Infosec approval, implemented a fix forward by bypassing SSL verification for the specific IP</t>
  </si>
  <si>
    <t>Firewall Stability</t>
  </si>
  <si>
    <t>INC165</t>
  </si>
  <si>
    <t>Non-prod vCenter is unable to communicate to Active directory</t>
  </si>
  <si>
    <t>As part of security recommendations, Infra team are unable to rotate security certificates and reenable lockdown mode for the hosts - posing a security concern.</t>
  </si>
  <si>
    <t>14/07 16:47 CT The vCenter IP was blocked in the Windows Defender which was unblocked to resolve the issue.
14/07: 11:36 - A call has been arranged with all the relevant teams to further troubleshoot this. MIM 2 Bridge. Monday, 14 July · 1:30 – 3:00pm
11/07:
17:00 - Multiple check point calls today with SOC (Security Operations Centre), Network, Active Directory, VMware. After a thorough investigation, it has been confirmed that Crowdstrike has not been blocking the connectivity. Network and Active Directory teams cannot see any issues at their end. SOC identified some deny logs on the Windows Defender, however, could not establish the cause for this. We have now connected with Security Engineering team (Nusrat Sayed) who will investigate further as he has admin access on Windows Defender. Next update - Monday (14/07)
14:00 - Upon review of the Falcon managed host 'VANILLA_DW7L284' (10.141.96[.]114), CrowdStrike was unable to identify any indicator that a blocking action is taking place between the IP 10.141.201[.]55 from the Falcon sensor. Croud Strike has also verified that the Falcon Firewall module is also not taking any blocking action against these IP's. At this time, the IP '10.141.201[.]55' does not appear to be managed by the Falcon sensor, which may also indicate that no blocking action is taking place. We need to reconvene the call at 15:00 again engaging the GWS/Workstation team to investigate logs at the local workstation level. no ETA for resolution at the moment,
11:00 - Crowdstrike advised that they are not blocking the connectivity/traffic from the non prod vCenter to the outside world. MIM bridge convened with VMware and Active Directory teams, no representation from Network and SOC (Security Operations Centre). VMware team to brainstrom further on the possible blocks/cause of the issue. Next checkpoint call at 12:00 PM on MIM2 bridge. Advised Network and SOC to be part of the meeting.
10/07 -
17:00 - MIM bridge initiated with SOC (Security Operations Center), Elizabeth Golder, VMware and Network team, our tech teams still believe that the traffic from the vCenter to the outside world is blocked by CrowdStrike. SOC cannot see anything blocking from their side and hence will raise it with CrowdStrike asap. We should have an update from CrowdStrike by tomorrow morning. A follow up call has been set up with the same audience at 10 AM 11/07
09/07 -
19:30 - As part of Crowdstrike activities, one of the Vcentre was blocked which might be causing the issue. We have advised Dharma to speak to Elizabeth Golder to understand the next actions. MIM team to speak to VMware (Dharma), Samrat Pain and initiate a call with Crowdstrike team (engage Aubhav Goyal) to devise a plan on the next steps. Next update at 14:00 on 10th July.
17:30 - The network team are trying to review around 250-300 ACL configuration to identify which rule is blocking the IP to connect to AD, this requires time and a further update will be provided by Dharma (VMware team) by 19:30. There is a change CHG785 -vCert - expired certificate replacement is dependent on fixing the issue, else the change window requires extension. next update at 19:30
15:40 - There are 4 IP addresses which are required to communicate with AD, until last week one of the 4 IP addresses were able to communicate and network has validated that there are no blocks in the firewall to establish connection to the AD. This is currently not working and Network team are trying to run traceroutes to identify the reason behind the block. If one IP works, Infra team should be able to carry on with the security remediation activities, the other 3 are for redundancy. Next update at 17:00
14:15 - We are trying to assign a network engineer to work with VMware team on the incident. Next update at 15:15</t>
  </si>
  <si>
    <t>Crowdstrike</t>
  </si>
  <si>
    <t>Harsha Pothapu</t>
  </si>
  <si>
    <t xml:space="preserve">The vCenter connectivity issue was caused by its IP being blocked by Windows Defender and it was unblocked to restore the services. </t>
  </si>
  <si>
    <t>INC172</t>
  </si>
  <si>
    <t>Issue in receiving the GR messages from ASO into GIST</t>
  </si>
  <si>
    <t>Around 25 Goods receipt messages across various foods depots like Faversham, Enfield, Cumbernauld , Bristol are not received in to GIST system from ASO impacting their picking operation</t>
  </si>
  <si>
    <t>14/07
Lisy (Foods Service Lead confirmed that this can be resolved as we have not seen a further recurrence of the issue. The Foods GR messages are processing from ASO into GIST as expected on the available ACE Nodes. Infra team will work on a change request to enable the vCenter connectivity in order to bring up Node 3 outside this incident.
13/07:
11:00 -
Based on the further investigation from Redhat, it was found that the stop operation for the resource FS_logs has failed which will require fence operation to be triggered so the cluster can safely recover on the member node. However the fence property is set to false so the cluster will not trigger a fence. The cluster nodes should be able to connect to the vCentre IP. Before the Cyber incident it was enabled. This will require the Network team to establish the connection between the Cluster nodes and the Vcenter. Next Update 14/07 3:00 PM
12/07:
11:00
Redhat has asked for further details from more details which have been shared by TCS Unix/Linux team. We are still waiting for further updates from Redhat. Investigation is in progress, no ETA at the moment. Next update at 11:00 on 14th July.
11/07:
22:30: The MQ manager cluster server remains down after a recent restart. A Sev2 case (04198291) has been raised with RedHat for resolution. There is no impact to GIST operations, as GR messages continue to flow through the five healthy MQ managers. The 25 affected GR messages were processed manually and are under ongoing monitoring.Next update: 12/07 11:00
20:24: A total of 3,300 GRs have been received, out of which 25 had an impact.
20:13 : (downgraded to P2) Upon further investigation we have identified message pile up in one of the MQ queue manager, however Middleware team is unable to access the MQ manager and Middleware admin is being engaged to investigate further. Also, we have agreed GIST and ASO workstream lead to reduce priority to P2 as the manual allocation process was already agreed as part of ASO go live on 09/07 to mitigate any impact to their operation
ASO has not received the GR messages in order to send a response to GIST further investigations are underway with Middleware team via MIM 1 Bridge</t>
  </si>
  <si>
    <t>ASO Application &amp; Middleware</t>
  </si>
  <si>
    <t>Alex Morariu</t>
  </si>
  <si>
    <t>Initial root cause attributed to an issue in one of MQ manager cluster.The actual root cause remain unknown</t>
  </si>
  <si>
    <t>Others</t>
  </si>
  <si>
    <t>INC173</t>
  </si>
  <si>
    <t>Delay in sending the WMS SOD (Start of Day) file to OMS due to Control M job issue.</t>
  </si>
  <si>
    <t>The website displays an "Out of Stock" pop-up during checkout for some items. Despite this, the OOS monitoring dashboard shows no significant drop in overall orders. Approximately 60,000 items/orders are impacted.</t>
  </si>
  <si>
    <t>12/07:
14:10 - MIM wasn't informed until 14:10, but the time issue was resolved based on the corrective actions taken by the Tech teams.
Action taken: The Tech Team, Availability Service Team and OMS team have processed the orders manually and updated the stock and also they did a Full Order refresh with the SOD file from the backend later.
Since the issue was related to customer experience we agreed to keep the Priority as P2 while 60K items were showing Out of stocks but MIM was only informed after the issue was resolved. Currently the OOS (out of stock) report shows it dropped back to normal (less than 3%)</t>
  </si>
  <si>
    <t>Priyabrata Sahu/Hisham</t>
  </si>
  <si>
    <t>The initial root cause is attributed to an issue in the Control-M job responsible for sending the WMS Start of Day (SOD) file to OMS. This issue is believed to be linked to the change CHG728 – Ollerton Integration to Mule/OMS/Sorted</t>
  </si>
  <si>
    <t>INC174</t>
  </si>
  <si>
    <t>T&amp;A (Time &amp; Attendance) Clocking &amp; Scheduling issue</t>
  </si>
  <si>
    <t>Punches made by colleagues on wall clocks are not being sent to T&amp;A. This is falsely creating No Show exceptions in T&amp;A. In some instances, the scheduled colleagues are seeing on their mobile devices does not match the schedule in the desktop version of T&amp;A</t>
  </si>
  <si>
    <t>14/07:
INC174 has been resolved and comms have been. Action taken to resolve the issue: the team ran a script that unposted and then reposted schedules - they did this for one store first and then all stores. Confirmed by Kirsten.
13/07:
18:30 - Update from Kirsten - T&amp;A product team had unposted the colleague schedules and reposted it for Pudsey store and store confirmation received that the Persona schedules and mobile schedules are in sync. We are running the same recovery action for the remaining stores and we will receive confirmation from stores tomorrow morning. Next update at 11:00, 14th July.
11:55 - Kirsten and team have raised a P2 Incident with Blue Yonder and are working with them to fix this issue. Currently there's no ETA given by Blue Yonder. A communication has been sent to the store user informing about the issue. In the Mean time store colleagues have been asked to use offline time sheets to attend as they won't be able to punch on mobile and will have to punch on the wall clock. No ETA at the moment but Kirsten and team will come to the Hyper care bridge whenever there's an update Blue Yonder.</t>
  </si>
  <si>
    <t>Kirsten Walker</t>
  </si>
  <si>
    <t xml:space="preserve">The initial root cause is attributed to an issue in sending the store colleague schedules. RCA is yet to determined </t>
  </si>
  <si>
    <t>3rd Party</t>
  </si>
  <si>
    <t>INC175</t>
  </si>
  <si>
    <t>Label printing currently down at Stoke DC</t>
  </si>
  <si>
    <t>Picking , packing and loading operations are affected . 80k singles cannot be released from DC( Distribution Center)to stores, receipt of return stock into warehouse cannot be processed</t>
  </si>
  <si>
    <t>14/07 -
16:16 (SSR) Incident has been marked as Resolved from Being Monitored after receiving confirmation from Service Lead Nandha.
13:55 - WMS application team tells us that the NPROC value for Stoke DC has always been set at 1024 (default value) for years (even during our peak volumes). The root cause needs a deep dive with WMS app and Linux teams to drill down the logs - activity / processes running at around 5 AM when the issue was reported - all teams have confirmed no changes from their side on Stoke DC. Final confirmation obtained from the DC that they are able to print labels without any issues. The incident will now be kept under monitoring until 16:00 before closure.
10:54 - We got a site outage from 11:00 to perform an application and server restart. ETA:12:30
10:30 - upon investigation, we identified that the threshold for one of the parameter which is responsible to allow user connection was breached and we have increased the parameter after which the WMS team is able to login in the application using the master ID which was not working earlier, however we are still having issues, further investigations are underway.
Active application server is inaccessible from WMS( warehouse management system) and even the required services are not configured in the secondary server. We are currently working with the Infra team to address the issue. Next update : 08:30 AM</t>
  </si>
  <si>
    <t>Linux/Unix</t>
  </si>
  <si>
    <t>Nanda Kumar Shivalingam</t>
  </si>
  <si>
    <t>The initial root cause is attributed to the system parameter NPROC reaching its threshold, which limited the number of processes a user could initiate. Detailed root cause needs to understood .
Root cause is due to A&amp;R dashboard MQFTE cyclic execution from app server while the MQFTE agent was down causing the number of sessions breach the NPROC threshold set in Linux server</t>
  </si>
  <si>
    <t>Capacity &amp; Scalability Limitations</t>
  </si>
  <si>
    <t>INC181</t>
  </si>
  <si>
    <t>Issues in installing CSSM application across 33 stores</t>
  </si>
  <si>
    <t>After the go-live of CSSM application on 15th July for Franchise and Mainchain stores (724 stores), there are 20 mainchain stores &amp; 9 Franchise stores which currently do not have CSSM application on the honeywell devices. Stores colleagues are unable to perform daily stock operations and the stock data will not be sent to Relex for order allocations and baby beam for stock reporting until the issue is fixed.
Note: There is a potential workaround for stores to use Power apps, however, the data transfer to downstream system will be manual and inconvenient.</t>
  </si>
  <si>
    <t>21/07 - All the stores have now got the latest CSSM application and no further issues are reported.
18/07 -
12:30 - We have received confirmation from majority of the stores that they can now see the CSSM application on the honeywell devices, however, it is a business decision to enable the app on the honeywells. Also, we have few other issues with WHSmith stores under CHG741 which requires network intervention and this is now been assigned to Network PM (Alex Williams) to ensure the right traction. We will be monitoring this incident until 14:00, 21/07. Next update on 21st July. 15:00.
17/07 -
16:30 - From the 16:00 call, below is the update:
- 3 stores issue resolved
- 29 stores - Network recovery is completed and honeywell devices are visble in the Airwatch console. Awaiting business validations.
- 1 store - We identified an issue with the Broadstone store AP (Access Points). The core switch will be restarted after 21:00 tonight and Prithvi will validate the device status.
We are catching up at 12:00 tomorrow to understand the business validation status before reinstating the CSSM application. Next update at 14:00, 18th July
15:30 - As of now, issue resolved for 3 stores, validation underway for 24 stores, MDM policy being pushed for 3 stores. For Broadstone, we had a detailed investigation and believe that there is an issue with Access Points at the store which is causing the issue with the honeywell devices. We are catching up at 16:00 to discuss the issue. Next update at 17:30/
12:00 - We had a call with Network &amp; Honeywells team at 12:00 and out of 33 stores, below is the current status:
- 3 stores - Issue is resolved after pushing the MDM policy and we can see the latest CSSM application. A call will be made by business to enable CSSM app on the honeywell devices.
- 24 stores - Being validated with Valli through the business if the latest CSSM app is visible.
- 3 stores - MDM policy being pushed by Network
-1 store (SittingBourne) - Not visible in Fortimanager, need troubleshooting after the MDM policy is pushed.
-2 stores (Guernsey &amp; Broadstone) - MDM policy applied, issue exists. Requires further troubleshooting. Next update at 15:00.
16/07:
16:30 - The current status is as follows:
18 stores have undergone technical recovery and we are monitoring the application update.
8 stores with primary link issues are currently being worked upon network team to manually update the MDM policy.
6 stores require further work to check if the honeywell devices are online or not. Valli to check on 17th July
1 store is currently not visible in Fortimanager and this will be picked up on 17th July. We are reconvening at 18:00 to validate the stores being fixed by network and we would need overnight monitoring to confirm the successful installation of CSSM application. Next update at 19:00.
15:20: Network is still working on updating the MDM policy for the 10 stores after which CSSM app will be installed and around 15 stores we have CSSM apps installed. This requires further validation before confirmation that issue is resolved. Remaining 6 stores needs case by case validation. Next update : 17:00.
13:45 There are around 33 stores in which CSSM was not installed.
-2 stores - issue resolved by applying MDM policy
-14 stores - we have MDM policy applied, CSSM application updates will take time and hence we continue to monitor the application update on these stores.
10 stores - The Primary link is down, MDM policy to be applied with a workaround via Secondary link.
1 stores - The store is not reporting to FortiGate manager, Once the issue with FMG is fixed, the policy will be applied.
6 stores - Valli/Chris is liaiise with Stores to see if the device are online. We are grouping at 15:00, to understand progress of recovery and agree next steps to resolve the issue. Next update at 16:00.
12:30 - Honeywells team have revised the list and identified that there are 14 out of 29 stores potentially having a MDM policy issue. Network team will continue to vaidate and apply the policy for these 14 stores if the store firewall is up and running. Remaining 16 stores needs case by case valdation followed by recovery actions.
Note: There is a latency issue with FortiManager as it is being used by multiple network guys in recovery activities - this is causing a delay in the MDM recovery for those 14 stores. Next update at 16:00.
10:24 : Network team and Honeywells team are comparing the setting between working and non-working stores to identify if there are any missing firewalls rules/config . Please note that all the 29 impacted stores have power apps as workaround, however its not viable as the application teams needs to handle the stock positions manually
15/07 - As part of the CSSM go live under CHG741 - Enabling MVO apps for CSSM, the implementation window is completed for Mainchain and Franchise stores across 724 stores although the change window is until 19th July to accommodate the roll outs for BP and Apple Green stores - this requires a network change. We have spoken to Network PM (Ayo Popoola) to arrange a network resource by 8am tomorrow morning and a MIM bridge will be opened with Honeywells team (Prithvi) and Network team at 08:30. Next update at 10:00, 16/07</t>
  </si>
  <si>
    <t>The primarily cause of the issue due to MDM policy deployment issues and network-related challenges, including primary link failures and firewall configuration gaps.</t>
  </si>
  <si>
    <t>Network configuration</t>
  </si>
  <si>
    <t>INC182</t>
  </si>
  <si>
    <t>Label printing issue at Swindon DC</t>
  </si>
  <si>
    <t>DC colleagues are unable to receive, pick, pack and despatch orders resulting in a capability and productiviity loss.</t>
  </si>
  <si>
    <t>16/07 -
16:30 - The issue recurred again and the WMS print daemons were restarted to resolve the issue.
15:30 - The NPROC value (number of concurrent sessions for RPWMS application user) has been doubled i.e. from 4096 to 8192. WMS application team can now see the print requests at the backend are successful. Site has also confirmed that they are able to print the labels without any issues from 15:00. Given we have seen this issue across 2 DCs now (Stoke and Swindon), we definitely need the team to prioritise the root cause investigations.
14:00 - The issue has started again and reported by Swindon DC, we are in a MIM bridge to identify the issue. Next update at 16:00.
12:00 - We will get into a call with WMS and Linux team by 13:30 to get an understanding of the root cause and do a proactive check of the other WMS servers. As the services are restored, we have now changed the status to "Being Monitored". Next update at 16:00
09:35 - There was an issue in logging into the primary application cluster between 07:44 and 09:35 which resulted in the issue. Without any tech actions, the WMS team was able to log in to the primary cluster without any issues and rerun a failed label which was successful. We have advised the DC to reprocess the failed labels and we could see successful labels printing at the backend. This is currently being triaged with Linux and WMS team in MIM1. Next update at 11:00
CT 08:35 - Nanda Kumar Sivalingam (Service Delivery Lead) informed us Swindon DC Label Printers not working and this started happening 7am and reported to Service Delivery Lead 8.20AM</t>
  </si>
  <si>
    <t>INC183</t>
  </si>
  <si>
    <t>Logopack Printer Connection Failure at Castle Donington DC</t>
  </si>
  <si>
    <t>Cancelled</t>
  </si>
  <si>
    <t>This issue is currently blocking Retail processing on DAP Stations and is preventing critical activities required for the Castle Donington site go-live. Immediate resolution is essential to avoid further delays and operational disruption.
Impact to ~70% of all retail hanging which is 45k a day typically shipped to stores</t>
  </si>
  <si>
    <t>16/07
15:30 - We have agreed to an approach of this incident to be considered under the hypercare as CD is not fully live. The stakeholders have confirmed that the Logopack printing is currently being TESTED today with a volume of orders - therefore, this should not be an incident. Agreed with C&amp;H Stakeholder to cancel the incident. This is now being treated under Hypercare &amp; fix forward.
14:30 - We are currently working with Network team on the source and destination IP addresses to allow the port to enable WMS application team to access the database. This is a pre requisite to troubleshoot the Retail order printing issue. Next update at 16:00.
13:00 - As part of the deny policy configuration for Castle Donington, Linux team were unable to connect to the Donginton SSI server from Stockley park and therefore, we have now reverted the deny deny policy for the donington server after securing the approval from the project manager and Linux team are now investigating the logs on the Donington server to identify the issue. Next update at 15:00.
11:35 - The Logopack printer is currently not receiving data from the SSI system, resulting in a failure to process print jobs. The issue has been jointly investigated by SSI, DFT, and CD IT teams. Key actions and observations include:
-SSI accessed the system and reloaded the printer service configuration.
-DFT performed checks and confirmed no issues on their side.
-Despite these efforts, the printer remains unresponsive, with no data transmission from SSI.
-A new Hanging is awaited to batch and arrive for further testing.
-The Network Team is being engaged to investigate potential connectivity or firewall-related issues that may be blocking communication between SSI and the printer.
-Despite these efforts, the printer remains unresponsive, with no data transmission from SSI.
-A new Hanging is awaited to batch and arrive for further testing.
-The Network Team is being engaged to investigate potential connectivity or firewall-related issues that may be blocking communication between SSI and the printer. MIM2 is on and will get a next update at 14:00.</t>
  </si>
  <si>
    <t>INC187</t>
  </si>
  <si>
    <t>Business colleagues working from Salford Quays are unable to access SAP applications (SRM &amp; ECC) on Salina network.</t>
  </si>
  <si>
    <t>Finance</t>
  </si>
  <si>
    <t>Around 28 SAP business colleagues working from Salford Quays office are unable to access SAP applications impacting the financial activities/reporting etc. Also causes a cascading effect to SAP H1 reporting.</t>
  </si>
  <si>
    <t>21/07 - All Finance colleagues are able to access SAP without any issues this morning.
18/07 :
18:50 - Businss colleague has validated both SRM and ECC and he can access the applications without any issues. We will now keep the incident under montioring to validate with the Finance colleagues on 21st July before resolving the incident,
Action taken: There were in total 4 network ports identified which were NOT allowed on the Juniper firewall (although these were there in the implementation plan) which has now restored access. Next update on 21st July, 12:00
18:30 - We had identified one of the other network ports which was denied on the Juniper (supposed to be allowed). This was allowed to restore SAP ECC access. Validations performed with business colleague on SAP SRM and is currently underway for SAP ECC. Next update at 19:00.
17:00 As part of CHG704, one of the network ports were not allowed on the Juniper which has now been added as a fix forward by Juniper - this has restored SAP SRM Access. We are further troubleshooting on SAP ECC. Next update at 18:30
15:00 - We have been replicating the issue with the colleague in the MIM call and have captured the relevant trace logs for network team to investigate further. Next update at 16:30
13:50 - By investigating the logs we have not observed any obvious issues. We have got a business colleague on our call now to replicate the issue and trace the logs to identify the problem. Next update at 15:00
12:30 - A network resource has been arranged via the Network Bridge, and MIM2 has been initiated to begin troubleshooting.
MIM is in the process of coordinating with the Network team to assign a resource via the Network Bridge, after which a MIM Bridge will be initiated.</t>
  </si>
  <si>
    <t>Mahesh Chedde</t>
  </si>
  <si>
    <t>As part of change CHG704, four required network ports were not allowed on the Juniper firewall, despite being included in the implementation plan. This miss in configuration blocked access to SAP SRM and ECC applications</t>
  </si>
  <si>
    <t>INC189</t>
  </si>
  <si>
    <t>Carrier label printing issues reported across Donington and other ECOMM DCs (Ollerton, Bradford &amp; Thorncliffe)</t>
  </si>
  <si>
    <t>DC colleagues are unable to print labels impacting packing and despatch operations across Donington, Ollerton, Thorncliffe and other Ecomm DCs. Currently, there are no indication of customer miss promises however, the below are the capability and productivity loss across the sites.
Castle Donington: Packing Capabliity loss of 15,000+ singles and productivity loss of 61 DC colleagues. Delayed resolution can result in further ecomm fulfilment delays.
Ollerton - 761 orders 952 units currently not able to pack
Bradford - Capability loss for 1 hour with 730 singles pack loss, No actual impact
Brands/thorncliff – 2.1 k capacity loss across pack and despatch</t>
  </si>
  <si>
    <t>21/07 - No further issues reported, although there is a separate issue at Donington which is currently being investigated under INC191
20/07
11:38 : Following the reintroduction of Evri, all DCs (Castle Donington, Ollerton, Thorncliffe, and Bradford) have confirmed they are now able to print labels successfully. Hence changed the status to Being Monitored. Next update: 21/07 11:00
11:00 : SORTED confirmed that the import of Carrier data has been completed. We have requested WMS team to reintroduce Evri. Awaiting feedback from WMS team. Next update at 12:00 or earlier if we have a significant update
10:15 : SORTED has advised that their engineering team are currently processing the import carrier data. Due to its complexity and manual triggers, they have anticipated another 45 mins to provide another update. Next update: 11:15
09:30 - The printing experience has improved, the failure rate is down to 12% (our expectation was 10%). This is because we have few Royal Mail failures due to dimension issues as Evri supports bigger dimensional packages than Royal Mail. We have been advised that the next update from SORTED is by 10:30.Next update at 11:00.
08:50 - Carrier Management team have now turned off EVRI from the Carrier Service Group at 08:47 and we are awaiting a feedback from Donington Ops on the label printing functionality - % of success/% of failures etc. For Other DCs, the printing is stopped as they only have EVRI. Next update at 10:00
08:15 - After multiple escalations, we engaged Sorted into our call and it has been confirmed that there is a issue with the Sorted routing file being imported partially which is causing few requests to process and few to fail. We have confirmed that the issue is primarily with EVRI and have therefore requested SORTED to turn off EVRI. No issues observed with Royal Mail. We are awaiting an update from Sorted by 09:30.
06:30 - C&amp;H Service Lead updated that other EComm DC's have also been impacted
05:15 - WMS team observed that DC operations while testing for some transactions, the issue was intermittent and not all carriers ROYALMAIL &amp; EVRI were failing
05:00 - Sorted didn't join, hence we reached out to Sorted - Director of product and said that there are date related errors in the logs and an engineer would join
04:30 - Service Lead managed to connect with the Sorted - Director of product said that he will g
04:30 - Service Lead managed to connect with the Sorted - Director of product said that he will get an engineer join the MIM
04:20 - From 03:40, all the 18 labels which were tested have printed successfully
03:35 - Escalated the Sev1 case and the M&amp;S Senior Product Manager (Martin Coy) is being informed of the situation to escalate the vendor Sorted further
03:10 - Sorted is yet to join the call, trying to reach out to Martin to further escalate
02:50 - Failure is from Sorted side, so raised a Sev 1 case with them and trying to involve them into the MIM1
02:35 - Murali reported that issue was reported to Tech around 01:10 and had seen 3 labels been successful at 02:10 and has again observed the allocation failures after that.
initial impact: The disruption has halted the normal dispatch process since 20-JUL-25 at 00:49, the site has been receiving Sorted allocation failures, resulting in over 200 parcels failing to generate</t>
  </si>
  <si>
    <t xml:space="preserve">The incident was caused by a partial import of the Sorted routing file, which led to intermittent allocation failures—primarily affecting EVRI carrier transactions. Awaiting detailed RCA from the vendor Sorted. </t>
  </si>
  <si>
    <t>INC190</t>
  </si>
  <si>
    <t>1. Gift cards transactions failure across online &amp; instore
2, All store tills offline to POS Beanstore.
3. Contact Centres (South Africa &amp; Chester) are unable to access OMS (Order Management System)</t>
  </si>
  <si>
    <t>1. Customers are unable to purchase, redeem, top up gift cards across online and instore resulting in poor customer experience. Note: There are 50% failures observed at the moment.
2. No impact to instore payments, however, refunds, gift card transactions on the tills are impacted across all stores.
3. Contact Centres are unable to address customer queries - track orders, apply refunds and apply replacements resulting in poor customer experience.</t>
  </si>
  <si>
    <t>16:30 - After a period of validations, the issue is now being resolved.
12:00 - We have agreed with the Retail Service lead to monitor the performance stability before resolving the incident at 17:00
11:00 - Microsoft advised that between 08:08 and 08:15, a network connectivity issue was observed within their Azure North Europe region and they had redeployed the virtual machines in the North region to resolve the issue.
POS - Previously, Microsoft was advised to not move regions during an issue within their infrastructure, and if required communicate to M&amp;S to take necessary actions to avoid impact. However, this time. although Microsoft has redeployed VMs in the North Region, POS still exhibited similar behaviour - this needs to be picked up with Retail &amp; Microsoft team.
A restart of the POS trade nodes were performed to resolve the issue and all store tills are online to POS Beanstore from 10:15.
Actions:
1. POS team to identify a robust solution on how these restarts can be automated.
2. Work with Microsoft on the technical aspect to avoid impact during Microsoft issue.
Gift cards - As per design, 100% POS traffic goes to SVS (Store Value System) Prod (North Europe) and therefore was impacted. Online traffic is load balanced between prod and DR (West Europe) regions, therefore was intermittent.
After the Microsoft issue, Network team observed that multiple VPN tunnels were down, which came up after re-initiating traffic to restore full service by 10:12.
South Africa Contact Centres - Post the Microsoft issue, multiple VPN tunnels were down within the network layer. A restart of the firewall was performed followed by a failover to restore all the VPN tunnels which fixed the issue by 10:17. Note: Chester do not traverse through VPN tunnels and therefore, were not impacted.
Network team investigated the logs and confirmed both the firewalls went to a panic state due to the Microsoft issue and could not failover. Also, we need to get REMOTE Access for Infra teams (Network, Linux, Wintel etc) to avoid dependency on Stockley park
09:33 - A Microsoft case was raised: 2507210030004000 to determine further on the Azure alert on North Europe region experiencing network issues. Network team are investigating the traffic routing and we are discussing further on the issue. Next update at 11:00.
09:00 - MIM1 opened with Cloud team, awaiting Network team
08:45 - Investigations ongoing and a confirmation is being taken if instore is impacted, we are gathering relevant support teams before initiating a MIM bridge.</t>
  </si>
  <si>
    <t xml:space="preserve">The incident was cause  by a network connectivity issue in Microsoft Azure’s North Europe region between 08:08 and 08:15. Microsoft redeployed virtual machines in the same region to resolve the issue. Following this issue, multiple VPN tunnels went down in the network layer and the firewall was restarted and failed over to restores the services completely.  Awaiting detailed RCA from the Vendor Microsoft. </t>
  </si>
  <si>
    <t>INC191</t>
  </si>
  <si>
    <t>Multiple issues at the Castledonnington DC.
1) HHT logging
2) Pack screen freeze
3) Admin team are currently experiencing issues with booking on RM20YC
4) Issue in the Print service
5) Parcels going to NOK lane
6) Hanging Garments not processed
7) ICQA stock descrepancy</t>
  </si>
  <si>
    <t>Hanging drops to slick rail but does not appear on WMS pack screen for circa 2 mins. Intermittent delays of upto 20min for PBH to release even with appropriate capacity and configuration on benches. Despatch admin - constant delays when shipping trailers 20-30mins for each trailer reported.</t>
  </si>
  <si>
    <t>22/07 -
16:00 - Apart from the slight performance issue at the site, all other operational issues are resolved. However, it has been confirmed that the restart of application and database servers have enabled the site to operate without issues, The incident will now be resolved and a database table purging activity will be performed to further improve performance - this will be taken care as a product task.
12:00 - There are intermittent performance issues observed as per the feedback from Donington Ops. There are some database cleansing activities being performed by the technical engineering community and we are catching up at 16:00 to understand the latest status. Next update at 17:00.
21/07 -
19:50 - A performance issue was observed on the pack screen around 16:00 today. However, the site has since confirmed that there are no ongoing issues at the moment.
We have reviewed the WMS application, database, and network, and found no anomalies or performance concerns from our end.If the site experience further performance issues, they are requested to share detailed observations and timestamps with the WMS team. Initiate an investigation accordingly.
15:45 -
All the issues have been resolved post graceful restart of the server except ICQA stock. 1. HHT logging --&gt; Since the restart confirmed the service seems fine no issues 2. Pack screen freeze --&gt; Since the restart confirmed the service seems fine no issues 3. Admin team are currently experiencing issues with booking on RM20YC --&gt; Since the restart confirmed the service seems fine no issues 4. Issue in the Print service --&gt; Since the restart confirmed the service seems fine no issues 5. Parcels going to NOK lane --&gt; Since the restart confirmed the service seems fine no issues 6. Hanging Garments not processed --&gt; Since the restart confirmed the service seems fine no issues 7. ICQA stock discrepancy --&gt; Can only be confirmed At 6 pm when the job will run next this job is the WMS --&gt; WCS stock reconciliation. Next update on 22nd July, 10:00
For this incident there is no outstanding actions and it is currently stand down, we will keep the incident open with mentoring on site so that we can be sure there are no issues. Locking and unlocking stock is the main issue currently business will submit a new incident if they need to for further investigation. Next Update 22nd July 16:00"
14:45 - The services are back up and running while we validate with Ops, the backend monitoring confirmed that the performance has improved. We are catching up at 15:00 to understand the feedback from Ops. Next update at 16:00.
14:15:- Technical teams have completed the restart of WMS application &amp; database servers and a conscious action was taken to ensure the job kept on hold purposely is not triggered whilst releasing the Control M jobs. The Global stop was lifted at 14:15 and we are validating with Ops and database health at the backend. Next update at 14:45.
13:00 - We are performing a graceful restart of WMS application and Database servers after taking a downtime with the CD Ops - this is underway. The activity involves restart of application and database servers including middleware component restarts and is due to complete by 14:15. There is no promise that this will fix the issue but a clean restart is always beneficial. Next update at 14:30.
12:00 - The Daemon sessions in DB are repeating which is causing some performance issues in some areas. Validation Results from various Operations areas in DC
HHT logging --&gt; confirmed improved
Pack screen freeze --&gt; Hanging to Carton bench validation resulted the issue is still ongoing... requested operations to confirm other areas
Admin team are currently experiencing issues with booking on RM20YC --&gt; Awaiting confirmation
Issue in the Print service --&gt;Validations suggest the issue is still ongoing
Parcels going to NOK lane --&gt; Awaiting confirmation
Hanging Garments not processed --&gt; performance as expected
ICQA stock discrepancy --&gt; Awaiting confirmation
The blocking which was removed earlier today has come back, currently this is not blocking as much to be noticeable for the user, but it will become noticeable the longer it continue blocking. We are investigating what is initiating these for coming back. Next update at 13:00
11:00 - We got word from CD that Packbench is working as expected now. Other areas currently don't have volume to process, so we're not able to get an update right now, but we will keep monitoring it closely. Hopefully, we will be able to close the incident in the next 30 minutes. Things are promising so far; we're monitoring database sessions, and there are no blockers.
10:40 - The team did a manual kill to the daemon sessions to avoid downtime and server restart. We also contacted the Control-M team to kill the job, to avoid new sessions. The DB engineers managed to kill all the sessions and blockers. We're confirming with the users at the floor if the perception is gone. Next update at 11 AM.
10:20 - MIM2 bridge has been started. Currently investigation is in progress with the Data Center team (DB and Linux resources)
10:00 - Reached out to the DC oncall numbers (Samrat, Kom and Liz) to get the necessary resources mobilized. None of the people are reachable over phone call or Google Teams Chat.</t>
  </si>
  <si>
    <t>WMS</t>
  </si>
  <si>
    <t xml:space="preserve">The initial root cause is  attributed to performance issue with the WMS database. Root cause is yet to determined   </t>
  </si>
  <si>
    <t>Unknown</t>
  </si>
  <si>
    <t>INC192</t>
  </si>
  <si>
    <t>Intermittent latency observed in 17 Non SDWAN Stores and 6 SDWAN stores while bringing up Xtris application on the honeywells</t>
  </si>
  <si>
    <t>Store colleagues are unable to log in to Xtris application and not able to provide the curreny to the customers and not receiving instant alerts on customers footfall.</t>
  </si>
  <si>
    <r>
      <t xml:space="preserve">09/08 - No further issues have been reported from the stores, therefore the incident is being resolved.
08/08 -
16:00 - There was a deep SSL inspection for HHT services , within which the certificate pinning happens which our HHTs doesn’t support, as these falls under the IOT category. We have bypassed the deep SSL inspection for *.google.com and *.google.api.com. Initial checks have confirmed that the instant alert is now popping up as expected. This will be under monitoring until 17:00 on 9th Aug. Next update on 17:00. 09/08
10:00 - CHG1687 was implemented last night, however, the issue still exists. We have validated the implementation plan and could confirm the steps have been implemented successfully. Through technical triage, we could see the Google register alert traffic is going out from the honeywell device but the return traffic is not coming in to the network - resulting in the issue. Network team are triaging further. Next update at 17:00
07/08-
16:00 - An ECAB is being conducted to review the change CHG1687 after securing all approvals and the implementation window is between 17:30 and 20:00 post which validations will be performed across the affected stores tomorrow morning. Next update at 14:00 on 08/08
11:59- [BB]- CHG1687: Xtris TM Messaging Whitelisting was NOT presented at CAB this morning.
06/08 - 
17:20 - Session conducted at 14:00. Implementation updated and sent to Sean for review. There is further detail required which will be added and resent tomorrow morning.  
Steps: Info-Sec Review, Documentation Update, Info-Sec Approval, e-CAB, Implementation (tomorrow morning) 
12:30 - Update from Naeem (Network PM): Session required between Info-Sec and Solution Architect (made up of Harshit and EC). Difficulty securing availability for all, attempted 10:30 this morning, 11:00 and now aiming for 14:00 
Steps: Info-Sec Review, Documentation Update, Info-Sec Approval, e-CAB, Implementation (Still aiming for this afternoon)
Next Update: 17:00, 06/08.
05/08 -
18:00 - The implementation plan is currently awaiting Infosec approval and this require further input from Eurochange &amp; Travel Bureau architect. A call has been scheduled tomorrow by the network PM and we await further updates. CHG raised for this is CHG1687. Next update at 17:00, 06/08.
12:00 - The Implementation has been ready. But awaiting some tech details from EuroChange . Meeting today at 1630. Info-sec review tomorrow, CAB at 1400 and Implementation tomorrow. </t>
    </r>
    <r>
      <rPr>
        <b/>
        <sz val="10"/>
        <color rgb="FF000000"/>
        <rFont val="Aptos Narrow"/>
        <family val="2"/>
        <scheme val="minor"/>
      </rPr>
      <t xml:space="preserve">Next update: 06/08 17:00
</t>
    </r>
    <r>
      <rPr>
        <sz val="10"/>
        <color rgb="FF000000"/>
        <rFont val="Aptos Narrow"/>
        <family val="2"/>
        <scheme val="minor"/>
      </rPr>
      <t xml:space="preserve">04/08- [BB]: As there is no notification that this has been to CAB today, it is assumed it will go tomorrow and the earliest we can get an update will be 05/08 @ 17:00
01/08 - 
16:00 - Implementation plan wasn't approved by DA and InfoSec, hence the Network PM couldn't make it to the CAB yet. This needs more rework on the plan before they take if for the approval from DA and InfoSec. Network PM will look for a an eCAB window in case they get the implementation plan approved by the DA and InfoSec by the weekend unless they will target the CAB on Monday. [Next Follow up : 04/08 17:00]
11 AM - Network team couldn't get the approval from DA and InfoSec yesterday, hence they have missed to take the change in the CAB yesterday. They're still working on revised change implenentation plan, Design Document to get the necessary approval from DA and InfoSec and planning to take it to the 2 PM CAB today. Next update 01/08: 17:00.
30/07 - 12:15 - Instant Alerting issue on the customer foot fall: The Network team is working on the change planning on the firewall rules. Here's the update interim update on the Change planning. Next update on 1st Aug 11:00 AM. 
[IDR approval] 30.07 - APPROVED
Implementation Plan Review/Approval 30.07 - IN PROGRESS
Info-Sec Approval 30.07 - PENDING
CAB approval at 10:00. [Naeem] 31.07 - YET TO START
Implementation at 17:00. [Implementation Engineer] 31.07 - YET TO START
29/07 - 
17:00 - Instant Alert: Network team is working on the Change Planning. 
[IDR approval] [Naeem] ETA 30/07
Implementation Plan Review/Approval ETA 30/07
Info-Sec Approval 30/07
CAB approval at 10:00. [Naeem] ETA 31/07
Planned Implementation at 17:00. [Implementation Engineer] 31.07.
</t>
    </r>
    <r>
      <rPr>
        <b/>
        <sz val="10"/>
        <color rgb="FF000000"/>
        <rFont val="Aptos Narrow"/>
        <family val="2"/>
        <scheme val="minor"/>
      </rPr>
      <t xml:space="preserve">Next update on 1st Aug 11:00 AM.
</t>
    </r>
    <r>
      <rPr>
        <sz val="10"/>
        <color rgb="FF000000"/>
        <rFont val="Aptos Narrow"/>
        <family val="2"/>
        <scheme val="minor"/>
      </rPr>
      <t xml:space="preserve">
12:00 - Xtris application latency issue: Chris has confirmed that all the 17 Non-SD WAN stores and 6 SDWAN stores are now having no issues with application login and things are running fine. This issue is resolved now. However we are still keeping it under monitoring for the remaining issue yet to resolved.
Instant Alerting issue on the customer foot fall: There's still an issue with the instant alerting on the customer footfall. This needs a Network change on the firewall rules. Based on the troubleshooting, we suspect there was some configurational steps missing as part change 1005, Network will verify the implementation steps of CHG1005 to figure out the missing steps and will go for an eCAB if necessary to make the necessary configuration changes. Next update: 29th Jul, 17:00 
28/07 - 
17:15 - Network team have identified, those 6 SDWAN stores were having Primary NW ISP is down and now they have reconfigured the firewall rules for ips/urls for those stores based on secondary ISP. We have validated the store device remotely with help from Yosuva. This should resolve the issue at the stores now, however we have kept it under Monitoring until tomorrow 2 PM. Next update at 14:00 on 29th July
Instant Alert issues: This needs more understanding for the NW team from the application side. This can be picked up tomorrow and may need to handle as part of seperate incident.
12:00 -  
There's NW resource crunch at the moment, Netwrok team haven't been able to make much progress on this so far, the solution that needs these 6 SDWAN stores are not same as other Non-SDWAN stores (what Network team applied last week to fix some of the stores) needs further troubleshooting. For now until we get another nework resource, this will be picked up after INC158 is resolved. Next update, No ETA, 
25/07 -
17:00 - After a detailed meeting with Network, Travel Bureau nd Eurochange, below are actions to fix the issue:
1. Investigate the latency issue for 6 SDWAN stores - we have escalated to John Spearman to provide a relevant network resource to start triaging
2. Network PM working towards defining the design document for the "instant alert" issue across the non SDWAN stores - this will be worked upon followed by relevant approvals before presenting in the CAB/eCAB. Next update on 28th July, 13:00
13:00 - After the dynamic IP address addition to the 17 Non SDWAN stores, the latency issue has resolved. However, there are two actions being addressed:
1. Apply dynamic IPs to the 6 SDWAN stores followed by troubleshooting.
2. We need to check and verify the implementation plan for CHG1005 to understand what was missed as part of the implementation plan as a result those 17 SDWAN stores currently not receiving instant alerts. Next Update: 17:00
24/07 -
16:00 - Based on further investigatio from the Network team, it was understood, sInce the URL is very dynamic, this needed to allow the FQDN the CNAME : www.tm.a.prd.aadg.trafficmanager.net, www.tm.a.prd.aadg.akadns.net which is now whitelisted by the network team and we have tested all the stores and validated there no more latancy issue while logging in tp Xtris application.
About Store not receiving instant alerts on customers footfall: Based on the further investigation by the Network team it was found that the necessary hostnames (urls) were not added in the ip whitelisting in the firewall as part of actual recovery. This needs to go through a new change request process followed by DA and infosec approval. Nayeem has agreed to take it forward via Network PM. Incident has been put on "Being Monitored". Net Update: 25th July 2 PM.
14:30 - We have identified a network policy underging SSL inspections on Eurochange URL, we are trying to analyse if we tweak the policy to undergo non SSL inspection and then test on store honeywells to check if that has fixed the issue. Next update at 17:00 on 24th July.
12:20 - There are three streams of investigation being done,
- Validate if all the required URLs are whitelisted
- Validate Eurochange logs to identify issues within Network layer.
- Validate certificates. We are catching up at 13:00 to investigate further. Next update at 14:30, 24th July
23/07 -
17:30 - The necessary logs have been collected form Eurochange and network team will investigate this further. We are catching up at 10:00 to discuss further. Next update at 12:00, 24th July.
16:30 - There are two issues at the moment -
a) server timeout issue causing the latency - Being investigated by Eurochange &amp; Network
b) instant alert - to be investigated by Eurochange Next update at 18:00
14:30 - The behaviour we have observed is the issue occurs sporadically and our network logs are not indicating any errors on the firewall - the latency is being traced from a network layer. Also, we are awaiting a Eurochange resource to deep dive further. Next update at 16:00.
13:00 - We are currently investigating the issue with Network and Honeywells team along with Eurochange by comparing the network logs between SDWAN and NONSDWAN store. Next update at 15:00.
12:30 - We have currently paused INC158 while we await for Eurochange engineer to join us at 13:00. Network level investigations will resume once we have honeywell team on the call to look at the Ips.
Next update at 15:00.
11:30 - This incident will be triaged once INC158 is resolved/addressed as we only have one network resource to work on Travel Money store issues. Next update at 17:00
22/07 - Whilst trying to emulate the issue to investigate further with Network teams, the issue did not occur at all for the stores. There will be another catch up tomorrow at 10:00. Next update on 23rd July 12:00
21/07 16:00 ; Robert Hooper (network PM) has assigned Naeem Farooq to work on this issue with Travel Bureau teams, Next update on 22nd July at 15:00.
11:00 - Awaiting an update from Vivek to speak to Robert Hooper (Network PM) to prioritise the issue.
INC158 (P1) Issue with 7 NONSDWAN Travel Money stores unable to accept card payments resulting in loss of revenue
Update: We have thoroughly validated the network logs and through store testing at Braehead, we have confirmed that the backend payment authorisation within Eurochange works as expected - therefore, it is believed that there could be a handshake issue between POS cloud (Verifone) and Eurochange application (Xtris). We are awaiting a Eurochange engineer at 13:00. Therefore, we will now utilise this time to triage INC192 (Latency issue with Xtris application across 17 Non SDWAN stores).
Next update at 15:00.</t>
    </r>
  </si>
  <si>
    <t>CHG1687</t>
  </si>
  <si>
    <t xml:space="preserve">
Issue 1: Xtris application issue: For 6 SDWAN stores, the primary ISP was down, and firewall rules were reconfigured for the stores with the secondary ISP, Reconfiguration resolved the issue.
For 17 Non-SDWAN stores, missing dynamic IP configurations led to latency in the Xtris application. Adding dynamic IPs resolved the issue
Issue 2: Instant alerts: The issue with instant alerting on Honeywell HHT devices was initially caused by deep SSL inspection policies applied to outbound traffic from these devices. The HHTs, being IoT-class devices, do not support certificate pinning, which is a requirement when SSL inspection is enforced. As a result, secure connections to critical Google services (e.g., *.google.com, *.google.api.com) were being intercepted and subsequently failed, preventing the devices from receiving real-time alerts. </t>
  </si>
  <si>
    <t>INC193</t>
  </si>
  <si>
    <t>Delays in Control M refresh at 7 AM impacting FH&amp;B and Foods portfolios</t>
  </si>
  <si>
    <t>FH&amp;B (Fashion, Home &amp; Beauty):
1. Demand Release Notes were not transmitted from the Warehouse Management System (WMS) to the Order management system (OMS), resulting in an impact to the ecomm order fulfilment process - across all C&amp;H DCs.
2. Lock messages from WMS to WCS (Warehouse Control System) were not issued impacting the stock integrity posture - limited to Castle Donington only.
3. Pack Exception handling for damaged good was impacted leading to potential delays in exception resolution.
4. Shipping Manifest and Operations reports were impacted.
Foods:
1. Delay in sending Foods Purchase orders/Purchase order amendments to suppliers - OFP (one foods platform) banner will be added for supplier notification.
2. Delay in sending Self bill invoices to Foods suppliers.</t>
  </si>
  <si>
    <t>13:30 - Service have remained stable with no further issues reported. We are awaiting root cause details from BMC.
11:00 - Vendor BMC confirmed that the Control M microservices became unresponsive during the scheduled 7am Control M refresh this morning. Therefore, the affected services were restarted which then enabled the successful refresh of control M followed by all scheduled jobs reflecting in Control M as expected. Awaiting a detailed root cause analysis report from BMC. We are currently monitoring the stability and will resolve by 13:30. Next update at 13:30
10:15 - A Sev1 case with BMC has already been logged in by the Control-M team .
10:20 MIM1 brigde is open for further troubleshooting.</t>
  </si>
  <si>
    <t>Control-M</t>
  </si>
  <si>
    <t>Srriam Muthupandi</t>
  </si>
  <si>
    <t xml:space="preserve">During the scheduled 7:00 AM Control-M refresh, the Control-M microservices became unresponsive causing the issue.  Awaiting RCA from Vendor on why the microservices became unresponsive. </t>
  </si>
  <si>
    <t>INC195</t>
  </si>
  <si>
    <t>All HHTs (hand held terminals) are currently non operational at Welham Green DC</t>
  </si>
  <si>
    <t>Colleagues are unable to perform regular operations impacting pick, pack and despatch operations.</t>
  </si>
  <si>
    <t>24/07 - After a period of monitoring, the issue is resolved and no further issues reported.
23/07
17:00 - After the restart of the application cluster and application services, DC colleagues are now able to access HHTs and log into WMS applications .as expected. The incident will now be monitored until tomorrow morning. Next update at 11;00, 24th July
Root cause: As per the design Virtual Machine Fence heartbeat agent was not configured on a cluster level due to an underlying network issue which was only fixed on 18th July. To configure the VM fencing, it required a downtime from the warehouses, therefore, was under planning. After the incident, the fencing is now enabled for Welham Green clusters to fix the issue. This will be planned for other C&amp;H sites in a controlled manner.
16:40 - The VM(virtual machine) fencing for WMS application cluster was enabled followed by a restart of application servers. The WMS application services are being brought up after which we will validate with the DC.
16:20 - Linux and WMS teams are currently enabling the VM fencing to restart the server. ETA: 17:00</t>
  </si>
  <si>
    <t>The issue occurred due to the Virtual Machine Fence heartbeat agent not being configured at the cluster level, as per design. This was caused by an underlying network issue, resolved on 18th July. The fencing setup required warehouse downtime and was pending implementation. Following the incident, VM fencing was enabled for Welham Green clusters, restoring access to WMS applications.</t>
  </si>
  <si>
    <t>INC202</t>
  </si>
  <si>
    <t>Microsoft office subscription issue on M&amp;S workstations across Milton Keynes, Welham Green and Swindon DCs</t>
  </si>
  <si>
    <t>DC colleagues are unable to access Macros through Web based excel on these workstations impacting planning activities. Please find the below impact called out by the Foods and C&amp;H warehouses:
1. Foods Milton Keynes DC - All the workstations are impacted and affecting many colleagues in 3 shifts
2. C&amp;H Welham Green DC - All the workstations are impacted and affecting many colleagues. Outlook is being worked around in Edge web browser, however, one drive remains a problem.
3. C&amp;H Swindon DC - all the workstations are impacted affecting 50 colleagues.</t>
  </si>
  <si>
    <t>29/07 - 
16:40 - CHG1383 was successfully implemented and the sites have confirmed resolution.
14:50 - CHG1383 was implemented and we are awaiting validation statement from the sites. Next update at 17:00
25/07 - 18:00 - The change was successful for Milton Keynes, and the change will now proceed for other sites with validations. Change window is until 29th July 11:00. Next update at 14:00 on 29th July.
16:00 - CHG1383 was approved in the CAB and the implementation plan is being done in a bridge call. Next update at 18:00
13:00 - The implementation plan is created and is curently awaiting Network architect approval. Once we receive the Network architect &amp; Infosec approval. ECAB will be facilitated. Next update at 16:00
11:40 - DC colleagues were able to use Macros in the app based O365 tills 21/07, however, due to an underlying issue, the impact has aggrevated and the network team are in process of raising a change once the implementation plan is finalised and get approvals. Robert Hooper is the Network PM and we will get another update at 13:00.</t>
  </si>
  <si>
    <t>CHG1383</t>
  </si>
  <si>
    <t>Sakthi</t>
  </si>
  <si>
    <t>The initial root cause is attributed to a issue in network configuation</t>
  </si>
  <si>
    <t>INC208</t>
  </si>
  <si>
    <t>SFTP prod file transfer issues within HR portfolios</t>
  </si>
  <si>
    <t>Delay in sending payroll details to the partners - Pension partners, Zenith, Learning partners</t>
  </si>
  <si>
    <t>29/07 - The VM was provisioned by TRAS Team and HR team got access to the SFTP after which the files were trasferred as expected. 
28/07 -The issue has existed since 25th July, initial troubleshooting was performed by rotating the service principle for Azure subscriptions. However, to further troubleshoot,  the HR Team requires access to the VM. TRAS team suggested to create a T1 account followed by VM provisioning to the team to troubleshoot further. Although the T1 account is created, the VM provisioning piece is still pending. We have spoken to TRAS Team and the VM will be provisioned to the HR team by tomorrow morning. Next update at 14:00, 29th July.</t>
  </si>
  <si>
    <t>TRAS</t>
  </si>
  <si>
    <t>Root cause yet to be determined</t>
  </si>
  <si>
    <t>NO</t>
  </si>
  <si>
    <t>INC210</t>
  </si>
  <si>
    <t>Franchise store colleagues are unable to access CSSM and its functionalities.</t>
  </si>
  <si>
    <t xml:space="preserve">Following the launch of CSSM to franchise partners overnight, we have had multiple stores reporting issues today morning while actioning stock adjustments &amp; counts. There is no immediate risk to stock accuracy as stores are still receiving sales but the stores cannot complete regular operations.Note: SD has received more than 10 calls. </t>
  </si>
  <si>
    <t>30/07 
13:00 - All Franchise stores confirmed that the issue is resolved. 
12:00 Valli updated that few stores reporting residual issues which are handled separately. Store counting is also ongoing and can take sometime to complete. Next update : 30/07 16:00
29/07 - 
17:17 - The change is completed and we have validated with Franchise stores who confirmed that the issue is resolved. We are changing the status of the incident to " Being monitored" to validate the count activity tomorrow morning. Next update: 30th July, 12:00
16:44 Approvals received from Infra team and change is being executed by Juniper
16:15 InfoSec &amp; Network architect approvals have been received and teams are on bridge
14:00 Technical teams triaged on the call with Juniper , Network and CSSM team. it was confirmed that subnets were missed as part of change CHG1182 and hence the same has been verified. DA and InfoSec approvals to be secured and then implemented. Retro change to be submitted. Next update at 15:30.
0:15 - We now have the network PM and network engineer and currently investigtions in progress in MIM1. Next update at 11:30.
09:35 - MIM has spoken to Ayo Popoola and awaiting network resource details to spin up a bridge. Next update at 10:30.
09:00 - MIM is trying to engage Network team. Network PM for CSSM recovery is Alex Williams.</t>
  </si>
  <si>
    <t>CHG1571</t>
  </si>
  <si>
    <t>Subnets were missed as part of change CHG1182</t>
  </si>
  <si>
    <t>INC211</t>
  </si>
  <si>
    <t xml:space="preserve">Contact Centre agents across Chester &amp; south Africa are unable to reply/receive /send emails to customers </t>
  </si>
  <si>
    <t xml:space="preserve">Customers are not receiving the auto acknowledgement replies resulting in multiple emails to the contact centre and poor customer experience.
Note: Customers can still call the desk and address the customer queries. </t>
  </si>
  <si>
    <t>14:20 - No further issues reported, therefore, resolving the incident.
12:00 : Investigations revealed that the secret key for production app registration id related to Google CCAI authentication with MS O365 was deleted at 09:13 which broke the authentication between Google CCAI and O365.CHG983 broke the authentication.
Messaging support created a fresh key followed by updating the key within Google to reinstate the integration and we have received confirmation from Contact Centres that they can now send/receive emails. We will monitor the stability until 14:00 and tthen resolve it. Next update at 14:30
10:45 -  This requires investigation between Messaging team to understand the broken integration between Google CCI and Microsoft 365. Next update at 12:00</t>
  </si>
  <si>
    <t>O365</t>
  </si>
  <si>
    <t>Steven Siddall</t>
  </si>
  <si>
    <t>CHG983 broke the authentication. Secret key for production app registration id related to Google CCAI authentication with MS O365 was deleted which broke the authentication between Google CCAI and O365.</t>
  </si>
  <si>
    <t>INC212</t>
  </si>
  <si>
    <t>Pay Export file for Castle Donington has not been loaded into Oracle</t>
  </si>
  <si>
    <t>Impact to Donington colleague payroll activities resulting in under or over:payment if not resolved by 30th July. 
Note: Payroll is due to run on 1st Aug</t>
  </si>
  <si>
    <t>30/07 - The file was uploaded successfully in the database and sent to Oracle, therefore, the issue is being resolved.
29/07
19:24: The data export and load is complete, a recon will be performed tomorrow as part of BAU process. Next update on 30th July, 12:00
17:30 - The CD source file from Blue Yonder failed to be sent to Oracle in the integration layer (Logic apps) due to the file size (file size increased due to backlogged catch ups). The workaround suggested was to remove the Logic apps config and this will now be transferred manually to Oracle. The team faced a road blocker to transform the encrypted xml file to csv which is now resolved, this will now be loaded to the database. If this approach fails, a further manual approach will be agreed with business to manually load the file to Oracle. Next update on 30th July, 12:00
14:56 - There is a workaround which is currently being worked upon to mitigate the impact. Next update at 16:30
14:30 - Kirsten has advised to increase the severity to P2 while the team continues to investigate. Next update at 16:00
11:50 - HR integration team are currently working on identifying the issue and we will receive a further update by 15:00. The remedy ticket raised is 90856270 and is currently a P1. Kristen has agreed to keep it as a P3 as its her team working on the issue. She will come back to the bridge if the priority needs to be increased.</t>
  </si>
  <si>
    <t>The CD source file from Blue Yonder failed to be sent to Oracle in the integration layer (Logic apps) due to the file size (file size increased due to backlogged catch ups)</t>
  </si>
  <si>
    <t>INC213</t>
  </si>
  <si>
    <t>Order dispatch emails not sent to customers</t>
  </si>
  <si>
    <t xml:space="preserve">~92k emails were not sent to customers. Customers are not receiving dispatch confirmation emails resulting in confusion on order status and poor customer experience. </t>
  </si>
  <si>
    <t>30/07 10:58 Dispatch comms have been sent normally and the dashboards do provide the correct data now. Teams are in touch with Sales force to improve the observability on the issues. Nilesh confirmed incident resolution.
29/07
16:40 - The backlog has been cleared and the teams are currently montioring the stability until tomorrow morning. Next update at 11:00, 30th July.
13:00 - Based on Salesforce reccommendation, Service communication performend housekeeping and deleted one of the webforms which impacted the flow of sending comms from the inbox and therefore, the emails were not sent to customers since 21st July. The webform reference was removed from the DC10 (Dispatch email) template which resumed the flow of emails to the customers. There are ~60k emails in the backlog which are currently being processed. Next update at 15:00.</t>
  </si>
  <si>
    <t>Service Comms</t>
  </si>
  <si>
    <t>Nilesh Singh</t>
  </si>
  <si>
    <t>Based on Salesforce reccommendation, Service communication performed housekeeping and deleted one of the webforms which impacted the flow of sending comms from the inbox and therefore, the emails were not sent to customers.</t>
  </si>
  <si>
    <t>INC215</t>
  </si>
  <si>
    <t xml:space="preserve">PIM( Product Information Manager) is not accessible for Online and Brand business (PDX) user and Technical teams </t>
  </si>
  <si>
    <t>Application UI is not accessible however the application is up and available. This should impact any backend processing, but business collegaues will not be able to access the application to amend to any product information</t>
  </si>
  <si>
    <t>01/08 - 
16:53 No new issues reported in the past 24 hours and the application has remained stable. Hence proceeding to resolve incident. RC Investigations to continue post investigations from vendor Stibo. 
08:40 Hisham updated that there were no further issues reported, but teams have not been able to find the root cause. Hence, this incident is kept under monitoring until 17:00. However, there has been no real impact so far. Next Update : 01/08 18:00
31/07 - 
14:05 Network team could see successful connectivity logs in the firewall for technical resources and users from Stockley and Waterside. Product team could see unusual increase in the heap dump for which they have raised a separate incident with vendor STIBO to analyse them. However without any recovery actions done, application is accessible now without any interruptions. Teams also see some issues with certain ports not listening for which the product team are investigating within themselves. Keeping this incident under monitoring for now and will reconvene if any further issues get reported. Next Update : 01/08 09:30 AM
12:10 - Stibo and Cloud DB team investigated the error logs and do not observe any underlying issues. Teams also observe IO errors in the log for which Network team was involved who confirmed that this traffic does not pass through the firewall. Further investigations ongoing. Next Update: 31/07 14:30 PM
10:32 - Incident reported again today with intermittent accessibility. Incident has been raised with vendor Stibo , awaiting for an engineer to join the call. Hisham confirmed to have this incident as a P2 Next Update: 31/07 12 PM
30/07 - 20:56 - The PIM application is now accessible and functioning as expected. No corrective actions were taken to resolve the issue. Given the intermittent nature of the problem and the potential for recurrence, the incident has been placed in a 'Being Monitored' state. Next update: 31/07 - 10:00
20:25: The Cloud ops team have been engaged for further investigations.  PIM application team and Cloud ops team are on  a call to investigate this issue further. Next update: 21:30.
16:51 application is stable and no new issues reported. Hisham confirmed to resolve incident.
Actions done: Restart of both app servers were done
15:30 restart of both app servers are done , basic health checks done and application works fine. Users are asked to use application. keeping incident under monitoring
14:32 No issues have been observed , application is still inaccessible. teams going for a server restart. Required approvals received
14:21 Found application access log consuming space , hence log file was purged and services were restarted , however application is still inaccessible , teams are still triaging on the call
14:00 - Team has suggested a restart of one of the problematic app server and are in process of getting approvals from Head of Engineering (Charly Webster) before the restart. Next update at 16:00
13:42 Application seems to be stable now at least for the past 20 minutes , seems a particular telnet service was not reachable from app server, hence one of the services were restarted by cloud OPS team post which the telnet service was also reachable , team will continue to monitor the services
12:23 PIM was inaccessible till 11:00 and website accessibility seems to be intermittent now. Hisham is now requesting for Network assistance
11:33 Cloud Ops team is already on a call triaging on this issue. Hisham will keep us posted once he has some updates for us. Next update at 13:30</t>
  </si>
  <si>
    <t>Cloud OPs</t>
  </si>
  <si>
    <t xml:space="preserve">RC Investigations to continue post investigations from vendor Stibo. </t>
  </si>
  <si>
    <t>INC216</t>
  </si>
  <si>
    <t>Latency in processing pack order messages between CD WMS and WCS</t>
  </si>
  <si>
    <t>Castle Donington Pick, pack and despatch operations are impacted with overall capability loss of 92.8K. However by each hour the capability loss will be increased by 26K across all areas until the services are restored.</t>
  </si>
  <si>
    <t>31/07 16:51 PIR is scheduled on Monday 04/08. No new issues have been reported during the monitoring. Confirmed with Murali to resolve incident.
31/07 - 4:40: Control-M jobs have been successfully resumed. Validation of both WMS and WCS applications has been completed. At 04:15, the Automation (Global Start) process was initiated. Communication between WMS and WCS is now functioning as expected, and all backlogs have been cleared.
Order Management has confirmed that orders with consignments are now visible in WMS and are interfacing with WCS without any issues. The activity will now transition to monitoring. Root Cause Analysis (RCA) and preventive measures to be defined in collaboration with Linux and Mule Integration teams during business hours. ETA: 16:00 31/07
2:30 The piled up message has been backed up and Mule services have been started at 1:27. We are actively processing the backlog messages in controlled batches of 5K at a time to avoid creating bottlenecks within WCS. Once all the backlogs are cleared, we will bring the WMS application up and resume the site operation. 
Once the Linux resource is available, further investigations to be performed and a Mule server to be restarted if required.
Next update: 05:30,31/07
1:30 - The message backup has been completed, and Mule services were brought up at 01:27. A test batch of 1k messages was processed successfully, and now proceeding to process the remaining queued messages in small, sequential batches. Once all messages are processed, the WMS application will be brought online and site operations will resume. Further investigation will be carried out once the Linux resource becomes available, and the Mule server will be restarted if required.
00:45 - The Mule services have been successfully stopped, and team is currently backing up approximately 157,000 queued messages. Once the backup is complete, the Mule services will be restarted, and the messages will be processed in controlled batches.
30/07
00:00 - To ensure that there are no further messages being triggered from application, the WMS application has been brought down by 23:30, after stopping the site operation by 23:15. 
21:15: Rajasekar Subramanian (Middleware lead) advised that the middleware engineer will be available between 05:00 and 05:30 in Stockley part to investigate further as the server can be accessed via M&amp;S LAN. Meanwhile, the Castle Donington IT team will monitor the performance   at the site advise MIM if there is a change in impact. 
20:40: The Order pack messages are getting processed in WCS again from 20:19, however the number of messages processed in comparatively low. Due to known risk with resource availability and remote access limitation, there are no middleware integration (Mule) engineers available at Stockley park to investigate the issue further. Castle Donington service is reaching out to C&amp;H workstream lead to notify the situation. Next update: 21:30, 30/07
20:28 - The Castle Donington site is currently facing an issue where orders with valid consignments are visible in the WMS but are not interfacing with the WCS. As a result, these consignments are not reaching the execution layer for picking, packing, or dispatch, disrupting the order fulfilment process. The issue appears to be isolated to the WMS-WCS integration layer and may stem from interface failures, data validation issues, or configuration mismatches. INC000090857765 - BMC incident reference.</t>
  </si>
  <si>
    <t xml:space="preserve">Enterprise Integration </t>
  </si>
  <si>
    <t>Long duration of high inflow messages from WMS had affected the Mulesoft file connector to slow down the file picking operations due to high I/O and subsequently lead to high system load . As we use the community edition of Mulesoft, the file connector scans all the files available in the input folder for processing, and there is no config set to limit the file picking for safe handling.​
ROOT CAUSE REMAINS UNDER INVESTIGATION​</t>
  </si>
  <si>
    <t>Tech Debt</t>
  </si>
  <si>
    <t>INC217</t>
  </si>
  <si>
    <t>Delays in Control M refresh at 7am impacting multiple portfolios</t>
  </si>
  <si>
    <r>
      <rPr>
        <sz val="10"/>
        <color rgb="FF000000"/>
        <rFont val="Aptos Narrow"/>
        <family val="2"/>
        <scheme val="minor"/>
      </rPr>
      <t xml:space="preserve">Jobs for todays order date not processing since 7:15 AM. Both Inbound and Outbound flows will be impacted. Downstream and Upstream Applications will be impacted. No Alerts or errors noticed. Impact to all DC's. Impact to Order transfer to WCS. 
</t>
    </r>
    <r>
      <rPr>
        <b/>
        <sz val="10"/>
        <color rgb="FF000000"/>
        <rFont val="Aptos Narrow"/>
        <family val="2"/>
        <scheme val="minor"/>
      </rPr>
      <t xml:space="preserve">FH&amp;B Impact
</t>
    </r>
    <r>
      <rPr>
        <sz val="10"/>
        <color rgb="FF000000"/>
        <rFont val="Aptos Narrow"/>
        <family val="2"/>
        <scheme val="minor"/>
      </rPr>
      <t xml:space="preserve">1- Order flow between Warehouse Management System (WMS) and Order Management System (OMS):
Ecom order fulfilment process to be affected due to the communication disruption between systems due to scheduled Control M jobs.
2- WMS – WCS (Warehouse Control System) communication
Potential Stock integrity issue between WMS and WCS due to broken communication.
3- Sorted Calls
Impact in Consignment generation as quote calls are affected
4- Reports
Latest Shipping manifest and operations report will not be available
</t>
    </r>
    <r>
      <rPr>
        <b/>
        <sz val="10"/>
        <color rgb="FF000000"/>
        <rFont val="Aptos Narrow"/>
        <family val="2"/>
        <scheme val="minor"/>
      </rPr>
      <t xml:space="preserve">M&amp;S DotCom - 
</t>
    </r>
    <r>
      <rPr>
        <sz val="10"/>
        <color rgb="FF000000"/>
        <rFont val="Aptos Narrow"/>
        <family val="2"/>
        <scheme val="minor"/>
      </rPr>
      <t xml:space="preserve">Order flow between Warehouse Management System (WMS) and Order Management System (OMS):
Ecom order fulfilment process to be affected due to the communication disruption between systems due to scheduled Control M jobs.
</t>
    </r>
    <r>
      <rPr>
        <b/>
        <sz val="10"/>
        <color rgb="FF000000"/>
        <rFont val="Aptos Narrow"/>
        <family val="2"/>
        <scheme val="minor"/>
      </rPr>
      <t xml:space="preserve">Foods Impact:
</t>
    </r>
    <r>
      <rPr>
        <sz val="10"/>
        <color rgb="FF000000"/>
        <rFont val="Aptos Narrow"/>
        <family val="2"/>
        <scheme val="minor"/>
      </rPr>
      <t>Delay in sending Foods Purchase Orders / Purchase Order Amendments to Supplier - OFP Banner is added for supplier notification.
ASN Business validations will be based on purchase orders amendments received prior to the issue start time.
Delay in sending Self-bill invoices to Foods suppliers
No impact to Foods WMS - Bradford and Milton Keynes as its mitigated by manual schedule runs</t>
    </r>
  </si>
  <si>
    <t>01/08 - The Control M Team confirmed that all jobs executed succesfully this morning. Hence marking this ticket resolved.
31/07 - Control-M services were in disconnect state, hence complete restart of Control-M services were performed post which Control-M team confirmed that the jobs are loaded for current date 31 July’25. Teams started performing the validation and confirmed the jobs have been loaded and running successfully as expected. Control-M team to monitor tomorrow’s (01/08) job load and confirm for incident closure. [Next Update - 01/08 12:00]
9:40: Update from Sathya Malaiyandi: After complete restart of ControlM services performed, jobs got loaded and started getting executed. Tech Validations (DNR, DRL etc) in progress. 
9:31: Update from Sathya Malaiyandi: Brought down the ControlM services, will bring it back up and confirm. 
8:45: ControlM services is disconnected. ControlM teams are trying to restart the ControlM services and see if that will fix.
8:14: ControlM server is not responding. ControlM team is checking with Wintel team to further investigate on this.</t>
  </si>
  <si>
    <t>Varun Sampathkumar</t>
  </si>
  <si>
    <t>Control-M services were in disconnect state.</t>
  </si>
  <si>
    <t>INC219</t>
  </si>
  <si>
    <t>7 Finance colleagues ICT team at Salford Quays are unable to access SAP gateway on Salina network</t>
  </si>
  <si>
    <t>The stock realignment tool is not accessible in SQ office and hence the ICT (Inventory Control) team will not be able to use the realignment tool for any stock corrections required in SAP thus impacting stock numbers in SAP for DC's and stores in financial accounting reporting. 
Note: Colleagues with SRAS (Remote solution) can access SAP gateway on Salina network.</t>
  </si>
  <si>
    <t>04/08
17:00 - Firewall team have done a fix forward and added a policy for Salina users in Saford Quays. They have also tested with couple of users and it's working now as expected. Hence resolving the Incident. 
16:00 -  Since the reinstatement of Salina network earlier this month in SQ, colleagues were able to access SAP gateway, however, after the interim pilot of SRAS (Remote solution) involving Zscaler route, colleagues with SRAS solution can access SAP gateway, however, colleagues without SRAS solution are unable to access SAP. The Network PM and Network engineer are currently working on the issue to identify the fix. Next update at 04/08 17:00.</t>
  </si>
  <si>
    <t>Vivianne Stein</t>
  </si>
  <si>
    <t>INC220</t>
  </si>
  <si>
    <t>INC000090862467</t>
  </si>
  <si>
    <t xml:space="preserve">Kisoft WMS application is inaccessible at FH&amp;B Bradford DC impacting operations </t>
  </si>
  <si>
    <t xml:space="preserve">DC colleagues are unable to perform any warehouse operations, including receiving, picking, packing, and despatch activities. Despatch of 70k singles across 57 stores and 3 DCs (Welham, Donington, Westfield) at risk for Retail and 209 singles ECOM Must go orders resulting in a potential CFR impact.
Business has already pushed Bradford down the hierarchy in terms of ordering, however, there are 200 MUST go singles which will be customer miss promised. </t>
  </si>
  <si>
    <t>05/08 - 
09:30 Nanda confirmed that "Knapp WMS application connection remains stable, and no further disruptions observed overnight", hence resolving the incident
04/08 -
21:00 KNAPP is suspecting a IP conflict caused due a change in IP address to one of their interfaces. To restore the service, the impacted interface was shutdown by KNAPP and the incorrect IP address was deleted to resolve the conflict.  Site has confirmed the operation have been resumed as of 20:20.  A PIR will be conducted to understand the RCA tomorrow
19:51 - KNAPP advised that they have performed a small config change and initial tests look positive. We are awaiting a confirmation from the KNAPP engineer before we fully validate and resume ops.Next update at 20:40
19:20 - Still awaiting linux expert from KNAPP. Escalations made to KNAPP Account director and M&amp;S leadership.
18:40 - A detailed investigation is currently being performed between M&amp;S network and KNAPP IT teams. A restart of the KNAPP WMS application servers were performed, however, the issue still exists. Further investigations revealed a routing issue of the application servers and we have requested for relevant KNAPP engineers to amend/correct the routing. Awaiting updates from KNAPP IT by 19:30
17:50 - The Kisoft WMS servers have been restarted, however, the issue exists. We have network engineer working with KNAPP IT. next update at 18:30.
17:35 - The KNAPP IT Team are currently restarting the servers, next update at 18:15.
17:25 - KNAPP IT team confirmed that the WMS servers are online however, the direct connection to the servers is not possible, KNAPP IT team are working with the database team. Next update at 18:00.
17:11 - Network team observed no return traffic from the Kisoft WMS server which could mean that the KNAPP WMS application servers are not working as expected, we are awaiting an update from KNAPP IT. Next update at 17:45
17:04 - KNAPP team confirmed that they are unable to access the Kisoft WMS servers and currently the database team is checking further. 
16:50 - WMS is down across HHTs &amp; workstations from 16:30 and we are working on  MIM Bridge with KNAPP and GXO vendor.</t>
  </si>
  <si>
    <t>KNAPP</t>
  </si>
  <si>
    <t>Ghulam Attari</t>
  </si>
  <si>
    <t>KNAPP suspects a DHCP push from M&amp;S have triggered a change in IP address (10.202.0.0./16) causing an IP conflict in one of the interfaces (ETH1) . We are yet to understand the reason behind the change in IP address. ​</t>
  </si>
  <si>
    <t>INC222</t>
  </si>
  <si>
    <t>FH&amp;B colleagues/Merchandisers are unable to launch Range Planner (RP) through Salina from Stockley Park and Waterside.</t>
  </si>
  <si>
    <t xml:space="preserve">Collegues are unable to process the Buy Ratio which will  impact the ability to raise PO (purchase orders) for FH&amp;B. Colleagues at Waterside (20 users) and Stockley Park are unable to launch Range Planner (RP) through Salina. </t>
  </si>
  <si>
    <t xml:space="preserve">06/08:
11:30 - We have got the confirmation for all the users that Range Planner is working through Salina Network now. The Incident is resolved now.
05/08
17:00 - Post successful testing, the necessary firewall changes were made with the approval from InfoSec and DA for all the Range Planner colleagues. They have basically added a new policy to ensure colleagues can access Range Planner trough Salina. It was a fix forward. Post implementation, it was tested with couple of more colleagues but we couldn't  get hold of all the colleagues since it's EOD for them. We will validate with rest of the colleagues tomorrow before we mark it as "Resolved". Next update: 06/08/2025 11 AM.
16:17 - The new firewall policy was successfully tested with the test user. There will be a fix forward applied. Network Firewall team has got the Implementation plan ready and it's already approved by InfoSec, waiting for a Network Architect to approve the plan and then they should be good to go. We have also suggested the firewall team to raise a retro change post implementation. Next update: 17:30
14:20 - We have engaged Network-Firewall team to investigate this issue further. According to Firewall team there's no specific rule applied for Range Planner to be working through Salina for the Stockley and Waterside users. There was never a policy existed post Security incident. Firewall team is working on deploying a new policy at the for Swindon, Stockley park DC and will test that some users. 
Next update: 16:00
12:59 - Colleagues were able to access Range Planner since yesterday afternoon. Next update at 14:00.
12:49 - MIM2 bridge started.  
</t>
  </si>
  <si>
    <t>CHG1810</t>
  </si>
  <si>
    <t>Ashok Gunasekaran</t>
  </si>
  <si>
    <t xml:space="preserve">According to Firewall team there's no specific rule applied for Range Planner to be working through Salina for the Stockley and Waterside users. There was never a policy existed post Security incident. Firewall team is working on deploying a new policy at the for Swindon, Stockley park DC and will test that some users. </t>
  </si>
  <si>
    <t>INC224</t>
  </si>
  <si>
    <t>Search functionality not working on the homepage of M&amp;S.com website.</t>
  </si>
  <si>
    <t>Customers were unable to search products on the M&amp;S.com website resulting in poor customer experience. Note: No drop in orders observed.</t>
  </si>
  <si>
    <t xml:space="preserve">12:20 - CHG1781 – Tealium Tag change in Onyx was deployed at 08:05. As part of any Onyx change, Asset sync between Onyx and Akamai is an usual activity, however, due to an unknown reason, the sync was broken for one of the assets responsible for M&amp;S.com homepage after CHG1781 which caused the issue. issue arose between Onyx &amp; Akamai
For safety reasons, the Tealium tag change reverted which allowed the redeployment of the Asset sync between Onyx and akamai. 
Another option was to redeploy the asset to Akamai keeping the Tealium change – they realised this later.
Platform/akamai team to conclude the root cause behind the asset sync and precautions to avoid impact in future changes. 
10:50 - To clarify, the Tealium Tag change CHG1781 did not cause the issue, more of a red herring and therefore, the change was reverted. In addition, as part of daily platform release a code change (asset) was uploaded on the site which did not sync with Akamai resulting in the issue. To restore services, the code change was retriggered followed by Cache clearance and search functionality is working as expected until 10:10. 
We are trying to understand more details on the daily platform release. Incident is put under monitoring until 11:30. Next update at 12:00
09:30 - It has been confirmed that a change CHG1781 - Bug fix for Tealium. 06.08.25 07.00 - 06.08.25 17.00 has caused the issue. We are yet to understand the root cause behind the change causing the issue. To resolve the issue, the change is being reverted with an estimation to reflect in production by 10:00 followed by validations on the website. Next update: 10:30
09:10 - CHG1781 was implemented at 08:05 has caused the incident and is being reverted
09:00 - BPS team highlighted the issue around 08:53, we believe a potential change performed by the Browse team might have caused the issue. We are opening a MIM bridge to triage the issue. </t>
  </si>
  <si>
    <t>Browse Team</t>
  </si>
  <si>
    <t>CHG1781 – Tealium Tag change in Onyx was deployed at 08:05. As part of any Onyx change, during the change, Asset sync between Onyx platform and Akamai is an usual activity, however, due to an unknown reason, the sync was broken for primary assets responsible for M&amp;S.com homepage after CHG1781 which caused the issue.​​
Platform/akamai team to conclude the root cause behind the asset sync and precautions to avoid impact in future changes.​</t>
  </si>
  <si>
    <t>INC227</t>
  </si>
  <si>
    <t xml:space="preserve">High volume of online orders refunds not being processed to customers </t>
  </si>
  <si>
    <t xml:space="preserve">35.5k refunds are impacted with major volume (27.9k) from Ollerton warehouse. We are yet to ascertain the number of customers/orders impacted. </t>
  </si>
  <si>
    <t>14:30 - OMS team identified that one of the 4 OMS servers became unresponsive on 05/08, 06:30 resulting in the refunds messages to not process within OMS. After the OMS outage this morning, the server got restarted which then flushed the queued up messages and overwhelmed the £50K Paypal balance. 2k refund orders were impacted, out of which 1700 were processed to customers with Paypal balance, remaining got processed by 14:00. Therefore, the incident is being resolved
09:30 - It is believed that over the past few days when a customer initiated the return process, these messages had never reached OMS for refund processing. In addition, there was a OMS release overnight, post completion, all the stuck refund messages were sent to OMS, however, due to insufficient balance in PayPal (50k is BAU for a day), refunds have not been sent to customers. The teams are now analysing the number of refunds not processed to customers, however, the actual processing of refunds to customers will only resume tomorrow with available funds in PayPal balance. Next update at 14:30. 
 07/08 : Internal updates happening ,backlog clear still monitoring  last  comms  came around 10:55, next com will be around 2 pm. post which we can confirm</t>
  </si>
  <si>
    <t>OMS team identified that one of the 4 OMS servers became unresponsive on 05/08, 06:30 resulting in the refunds messages to not process within OMS.</t>
  </si>
  <si>
    <t>Infrastructure or Platform Failures</t>
  </si>
  <si>
    <t>INC228</t>
  </si>
  <si>
    <t>INC000090867036</t>
  </si>
  <si>
    <t>Outlet DC (Peterborough) are unable to access JDA Dispatcher WMS application</t>
  </si>
  <si>
    <r>
      <t xml:space="preserve">Outlet DC are unable to perform BAU operations - including picking, packing &amp; despatch operations resulting in a capability loss of 36339 singles incurring a </t>
    </r>
    <r>
      <rPr>
        <b/>
        <sz val="10"/>
        <color rgb="FF000000"/>
        <rFont val="Aptos Narrow"/>
        <family val="2"/>
        <scheme val="minor"/>
      </rPr>
      <t>financial loss of £1300</t>
    </r>
  </si>
  <si>
    <t>13:00 - No further issues reported and therefore the incident is marked as resolved.
11:30 - This is a known issue where the network tunnel between GXO and M&amp;S becomes unresponsive and it required a restart of network tunnel to resolve the issue by 11:45. Network team will work with Fortinet to upgrade the firewall firmware to avoid these issues between GXO and M&amp;S. We will monitor the service stability until 13:00 before we resolve. Next update at 14:00.
11:20 - Outlet DC has engaged GXO IT team and we are currently engaging with M&amp;S WMS and Network teams in a MIM bridge. MIM1 being opened.</t>
  </si>
  <si>
    <t>Nandakmar Sivalingam</t>
  </si>
  <si>
    <t>This is a known issue where the network tunnel between GXO and M&amp;S becomes unresponsive and it required a restart of network tunnel to resolve the issue</t>
  </si>
  <si>
    <t>INC229</t>
  </si>
  <si>
    <t>Customers not receiving order despatch messages from Sorted.</t>
  </si>
  <si>
    <t xml:space="preserve">Around 60k despatch messages have not been sent to customers resulting in poor customer experience. </t>
  </si>
  <si>
    <t>14:40 - All dispatch messages have been sent to customers and no further issues reported. Remote access need to be sorted to avoid these kinda issues.
12:25 - Control M team ran the job and the files have been processed to Sorted via SFTP by Cloud Ops teams. We are validating the successful transfer of messages to customers. Next update at 15:30.
11:23 - After the OMS outage, the BAU control M job that triggers the dispatch messages to customers was not executed and therefore, the issue occurred. We are trying to work with Cloud ops team to run the middleware interface to send the despatch messages to Sorted. Next update at 13:00</t>
  </si>
  <si>
    <t>After the OMS outage, the BAU control M job that triggers the dispatch messages to customers was not executed and therefore, the issue occurred.</t>
  </si>
  <si>
    <t>INC230</t>
  </si>
  <si>
    <t>11 Travel Money stores are unable to access Xtris application on the workstations - Eden High Wycombe, London Colney, Stirling, Merryhill, Camberley, Metrocentre, Edinburgh Kinnaird, Harrogate, Dundee, Chester, Norwich</t>
  </si>
  <si>
    <t>Store colleagues are unable to trade with card payments, assist customers in exchanging currencies resulting in loss of sales &amp; poor customer experience.
Note: Cash trading works upto £1500, however inconvenient.</t>
  </si>
  <si>
    <t>08/08
12:30 - NO further issues have been reported by the stores, therefore the incident is resolved. Root cause investigtions continue.
18:00 - Network team triaging the issue, however, the feedback from stores are indicating that the issue has resolved without any tech intervention by 11:47. No further issues have been observed, however, business has advised to keep the incident under monitoring until 12:00 on 8th Aug. Root cause analysis is underway to review the bandwidth utilisation, Network design and feedback from Fortinet. Next update at 13:00 on 08/08.
13:00 - Stores have remainded stable and the root cause is currently being investigated through an internal call. Next update at 18:00
12:00 - Network team are currently triaging the issue, however, the feedback from stores are indicating that the issue has resolved without any tech intervention by 11:47. Store validations continue as we have received confirmation from one store.  But we remain on the call to understand the reason behind the blip. Next update at 14:00
11:41 - We are arranging a network resource to troubleshoot the issue on a MIM bridge. Next update at 13:00</t>
  </si>
  <si>
    <t>Vivek Marwaha</t>
  </si>
  <si>
    <t>INC231</t>
  </si>
  <si>
    <t>WMS application inaccessible on pack screens and HHTs at Castle Donington DC</t>
  </si>
  <si>
    <t>DC colleagues are unable to pack and despatch resulting in an elevated risk to Customer Fulfilment Rate (CFR) due to delayed or missed shipments.
Potential breach of service level agreements (SLAs) and customer delivery expectations.
Increased likelihood of customer dissatisfaction and reputational impact</t>
  </si>
  <si>
    <t>16:40 - No further issues reported so far, incident is being resolved.
13:00 - Services were restored after the file system services were moved back to the primary application node by Linux team by 13:00. The initial root cause is attributed to a communication issue on the WMS application cluster nodea at 11:57 which resulted in the restart of the primary application node and caused the file system services to move to the secondary node at 12:05. Linux team are currently validating the server and Vmware logs to identify the reason behind the communication issue. Next update at 17:00
12:50 - Linux team identified that the primary application node got restarted at 12:05 and the file systems moved to secondary node which caused the issue. The teams are currently trying to move the services back to the primary node to restore services. We are yet to understand the reason behind the restart. Next update at 13:30
12:30 - We will open a bridge with DB, Linux, Network &amp; WMS teams. Next update at 14:00</t>
  </si>
  <si>
    <t>communication issue on the WMS application cluster nodes which resulted in the restart of the primary application node and caused the file system services to move to the secondary node</t>
  </si>
  <si>
    <t>INC232</t>
  </si>
  <si>
    <t xml:space="preserve">Foods Bradford DC - LAN connectivity lost in Stock &amp; Compliance Team office </t>
  </si>
  <si>
    <t>DC colleagues in the inbound area are unable to process any inbound deliveries, print paperwork, update dock scheduler etc.,. Potential impact to all 3 shifts and there is approx 10 desktops no longer functional, so it affects inbound compliance and inventory check compliance. Pick, pack and despatch operations remain unaffected.
Final Impact on10/08: No impact incurred as the issue was resolved before the start of Inbound activities (receiving the delivery from Supplier).</t>
  </si>
  <si>
    <r>
      <rPr>
        <sz val="10"/>
        <color rgb="FF000000"/>
        <rFont val="Aptos Narrow"/>
        <family val="2"/>
        <scheme val="minor"/>
      </rPr>
      <t xml:space="preserve">12/08 - 10:00 Yesterday, Smart City (SCT) Engineer has installed additional 4 power supplies which did enable all the 4 switches having power backup in case anyone fails. Additionally, Network team has monitored the constant power supply to the switches and ports been up / stable state. Today, under prodigious hypercare monitoring, health checks performed on the Switches are found good and stable by the Network team and no further issues has been observed post the mitigation works carried out by KMH and Smart City yesterday. In addition, KMH engineer has also added additional PSU and plugged them to alternate PDU's so that if one source fails other will supply power to the Switch to avoid further issues.
11/08: 13:30 - The power supply and switches have remained stable with no further impact to the site. Network team are on hypercare and sharing hourly monitorig stats. The incident is kept under monitoring to monitor the stability </t>
    </r>
    <r>
      <rPr>
        <b/>
        <sz val="10"/>
        <color rgb="FF000000"/>
        <rFont val="Aptos Narrow"/>
        <family val="2"/>
        <scheme val="minor"/>
      </rPr>
      <t xml:space="preserve">until 12:00, 12th Aug.
</t>
    </r>
    <r>
      <rPr>
        <sz val="10"/>
        <color rgb="FF000000"/>
        <rFont val="Aptos Narrow"/>
        <family val="2"/>
        <scheme val="minor"/>
      </rPr>
      <t xml:space="preserve">10:30 - KMH engineer found some issue with PSU slot, therefore, this has now been replaced and the 4th switch is now online. No further impact to services as we continue to monitor the switch stability until COP today. Also, KMH fixed the switch member and he also added additional PSU and plugged them to alternate PDU's so that if one source fails other will supply power to the Switch. Next update at 17:00
08:30 - From 06:40 switches were down again and a CITY FM engineer was there at 7 to check on the overnight status and he helped (unplugged and replugged) and 3 switches are back online from 07:25. Still the problematic 4th Switch is down and SCT engineer will visit the site latest by 11 AM to work alongside the City FM Engineer and check on the switch ASAP. Next update at 11:30 AM
10/08: 
8:30: Currently, there is no impact and operations are functional (confirmed by Alex - local IT). City FM engineer simply unplugged and re-plugged the cables this morning around 7AM which got 3 of the switches back online. Currently, the city FM Engineer is a the site, however, once the SCT engineer will be available at site around 11 AM - they shall work together to fix the issue. We shall reconvene back at 11:30 on the MIM1 bridge, with Network, Business and Foods DC teams.
00:30: Around 23:56,alerting indicated that one member of  the stack switch in the cabinet has gone down again. We believe that the impact should minimal as other 3 members of switch stack is as working as expected. However, we have requested the site to advise us if there is any impact. Note: Last time the whole stack switch in the cabinet went down. The stack switch has 4 member and now one of the member is down. We have updated this issue in the case we have raised with SCT. </t>
    </r>
    <r>
      <rPr>
        <b/>
        <sz val="10"/>
        <color rgb="FF000000"/>
        <rFont val="Aptos Narrow"/>
        <family val="2"/>
        <scheme val="minor"/>
      </rPr>
      <t>Next update:</t>
    </r>
    <r>
      <rPr>
        <sz val="10"/>
        <color rgb="FF000000"/>
        <rFont val="Aptos Narrow"/>
        <family val="2"/>
        <scheme val="minor"/>
      </rPr>
      <t xml:space="preserve"> 09:00, 11/08, unless there is a significant change in status.
FYI- On call service lead Naga has been made aware. 
21:20: The switch came back online at 20:40 and has remained stable since. Site validation has been successfully completed. The Network team will engage the Smart City (SCT) vendor to further diagnose the switch and address any underlying issues. No impact incurred as the issue was resolved before the start of Inbound activities (receiving the delivery from Supplier)
20:47: City FM reached the site and rebooted the Switch after which the connection was restored. City FM confirmed that there is no power issue with power socket. Network team has confirmed that switch is back online. Further site validation are underway. 
19:55 City FM engineer are available at the site only during the weekday. Hence, site has raised a case with City FM and engineer will reach the site by 20:30. Meanwhile  Declan( Site ops lead) is exploring the option to arrange a  backup laptop and printer connection to minimise the impact to Inbound operations overnight. 
18:45: Vendor KMH doesn't support on the weekend  and they support only weekday 9*5 (relationship maintained by RIT team) , as the switch is not having the power at the moment.  We have Declan ( Site Ops lead) on the site now and he is checking if there is a City FM availability at the site who can help restore the power to the switch. 
Below are the three vendor who supports, and we currently trying to engage City FM. 
City FM - supports power issue at the sire
KMH- Supports with Cabling issue during weekday. 
SCT- Supports hardware issues with the Switch. 
13:00 - Incident is a recurrence of the INC232 which was logged on Friday. Switch was down from yesterday (09/08) 17:30. There is a power issue with the same switch and Network team already has a P1 incident with KMH support and working towards engineer dispatch to the site. Requested site to escalate as well with KMH.
08/08:
</t>
    </r>
    <r>
      <rPr>
        <b/>
        <sz val="10"/>
        <color rgb="FF000000"/>
        <rFont val="Aptos Narrow"/>
        <family val="2"/>
        <scheme val="minor"/>
      </rPr>
      <t xml:space="preserve"> Stats (documented since this was reopened) - Mean time to Resolve: 04:39:00 - Mean Time to Restore: 04:10:00
</t>
    </r>
    <r>
      <rPr>
        <sz val="10"/>
        <color rgb="FF000000"/>
        <rFont val="Aptos Narrow"/>
        <family val="2"/>
        <scheme val="minor"/>
      </rPr>
      <t>11:30 - No further issues reported by the site and network switches have remained stable
10:10 - KMH engineer identified a faulty power extension and it was replaced and switches are up. Operations and Network team to monitor for stability.
08:58 - In total we have identified 7 network switches which are currently down. Vendors like Smart City, City FM and KMH are being involved to physically check the switches while our network engineers remains engaged to assist. Next update at 11:00
08:07 - A Switch has been down, upon investigation it was identified that there is no power to the Switches Cabinet. Case is being raised with SCT team by Network Team for Hands and Feet Support. Next update at 09:00.
07:40 - Switch down, possible power issue. trying to log a case with City support.
07:05 - Network team joined and investigation is in progress
06:56 - MIM1 initiated and Network team is being engaged</t>
    </r>
  </si>
  <si>
    <t>Sakthi Santosh N</t>
  </si>
  <si>
    <t>KMH engineer found some issue with PSU slot, therefore, this has now been replaced</t>
  </si>
  <si>
    <t>INC236</t>
  </si>
  <si>
    <t>INC000090871985</t>
  </si>
  <si>
    <t>Performance degradation on cSAP ECC system</t>
  </si>
  <si>
    <t>Demand and Fulfilment orders for Donington and other FH&amp;B distribution centres - Swindon, Bradford, Swindon, Stoke, Thorncliffe, Welham DC were not sent to the site on time potentially resulting in a delay to store deliveries
Foods Final orders will be sent to the suppliers with a delay. Suppliers were advised to use the latest 28 day order plan as a workaround.
Update: As a quick recovery action, the non critical jobs were deprioritised to ensure the critical jobs relating to FOODS and FH&amp;B orders are processed as expected.
Majority of the critical orders have now processed out of SAP and we’re validating in the downstream systems - OpenText and WMS.</t>
  </si>
  <si>
    <r>
      <rPr>
        <sz val="10"/>
        <color rgb="FF000000"/>
        <rFont val="Aptos Narrow"/>
        <family val="2"/>
        <scheme val="minor"/>
      </rPr>
      <t xml:space="preserve">10/08 - 
11:00 - Overnight critical batches are completed without any issues and cSAP system performance has remained stable, hence resolving the incident.
09/08
13:50 - The cSAP ECC system has remained stable and no further performance issues have been observed. All jobs are running as expected. The issue was caused due to work processor crunch due to housekeeping jobs execution. Therefore, some housekeeping jobs were put on hold to improve the SAP system performance and overnight monitoring is in place.
Root cause - The standard SAP housekeeping jobs had been on hold as part of the cyber incident. When the underlying file system space reached its threshold yesterday evening, the housekeeping jobs were executed to purge three months’ worth of accumulated data logs. This workload consumed the majority of available work processes, causing performance degradation in the C-SAP ECC system.
As part of recovery, SAP basis team had paused 5 of the 30 housekeeping jobs, as file system usage has returned to normal levels. System performance has stabilized following the suspension.
Going forward, team will resume housekeeping jobs in smaller batches to gradually purge remaining logs and monitor file system usage and system performance to prevent future degradation.
Next update at 14:00, 10/08.
10:30 -  We have observed improvement in the cSAP syetem stability with no tech actions taken. Therefore, we have agreed to release some jobs in a controlled manner to run in parallel while we monitor the performance. </t>
    </r>
    <r>
      <rPr>
        <b/>
        <sz val="10"/>
        <color rgb="FF000000"/>
        <rFont val="Aptos Narrow"/>
        <family val="2"/>
        <scheme val="minor"/>
      </rPr>
      <t xml:space="preserve">Next Update at 17:30 on 9th Aug
</t>
    </r>
    <r>
      <rPr>
        <sz val="10"/>
        <color rgb="FF000000"/>
        <rFont val="Aptos Narrow"/>
        <family val="2"/>
        <scheme val="minor"/>
      </rPr>
      <t>Root cause- Sap Basis team have not observed any issues in the initial glance. A further deep dive analysis is underway. Case being raised with SAP  vendor for further assistance if required.
09:40 - All Retail orders have interfaced into the FH&amp;B warehouses, Donington - 08:37 and all other warehouses - 09:16. SAP team continue to resume the other flows processing to downstream systems.Next update at 11:00
09:00 - The critical jobs related to Foods and FH&amp;B orders have now completely processed out of SAP. Foods final orders have been sent successfully to the suppliers by 08:38. We’re validating the flow of retail orders into the FH&amp;B warehouses. Given the cSAP ECC system is now comparatively stable, we’ve now resumed the POS and Ecomm sales flow to the downstream systems. 
Meanwhile, SAP Basis team are analysing the various technical metrics - database, servers to identify the root cause and take necessary actions. 
Next update at 11:00
08:13 - As teams have held the non priority jobs to prioritize the business critical flows, Both FFO and D&amp;F orders have started interfacing and downstream validations are in progress. [Next update at 09/08 09:00]
06:00 - SAP teams were trying to manually run/reprocess the jobs, but cyclic jobs are getting triggered every 15 mins to 30 mins. Pile up of messages were seen at the PO and ECC interface. Hence with the help from Control M team non-priority jobs in Control M are put on hold and prioritised the business-critical flows (ANR, FFO etc) and teams are observing the system performance.</t>
    </r>
    <r>
      <rPr>
        <b/>
        <sz val="10"/>
        <color rgb="FF000000"/>
        <rFont val="Aptos Narrow"/>
        <family val="2"/>
        <scheme val="minor"/>
      </rPr>
      <t xml:space="preserve"> </t>
    </r>
    <r>
      <rPr>
        <sz val="10"/>
        <color rgb="FF000000"/>
        <rFont val="Aptos Narrow"/>
        <family val="2"/>
        <scheme val="minor"/>
      </rPr>
      <t>[Next update at 09/08 08:00]
03.25 - Post killing the jobs we can see some improvement in system and we are removing the locks manually which was created by cancelled jobs.
02:20 - I060.* iDoc (POS sales) causing the performance slowness, processing the iDoc has been released and it is being rescheduled
02:10 - Krishnaprasad joined the hypercare and reported that SAP ECC performance is slow, potentially impacting the overnight critical flows</t>
    </r>
  </si>
  <si>
    <t>SAP</t>
  </si>
  <si>
    <t>Krishnaprasad Rajendran</t>
  </si>
  <si>
    <t>The standard SAP housekeeping jobs had been on hold as part of the cyber incident. When the underlying file system space reached its threshold yesterday evening, the housekeeping jobs were executed to purge three months’ worth of accumulated data logs. This workload consumed the majority of available work processes, causing performance degradation in the C-SAP ECC system.</t>
  </si>
  <si>
    <t>Operational Oversight</t>
  </si>
  <si>
    <t>INC238</t>
  </si>
  <si>
    <t>INC000090871328</t>
  </si>
  <si>
    <t>Sales data not flowing to CSSM for BP stores</t>
  </si>
  <si>
    <t xml:space="preserve">Store counting across 289 stores been blocked to avoid stock corruption. </t>
  </si>
  <si>
    <r>
      <rPr>
        <sz val="10"/>
        <color rgb="FF000000"/>
        <rFont val="Aptos Narrow"/>
        <family val="2"/>
        <scheme val="minor"/>
      </rPr>
      <t xml:space="preserve">16:40 : Sales file caught up by 16:20 and there are around 220 stores and 14K UPC's store UPC combination stock corrupted due to stores counting done yesterday. Service lead has discussed with business and got confirmation that this will be handled by stores through gap scan to get the stock corrected. Therefore, store counts have been unblocked. 
12:40 - The VPN tunnel responsible for connecting M&amp;S and BP was disabled which impacted the flow of sales messages from BP to CSSM application. Network team have now enabled the tunnel and we have confirmed successful flow of messages to CSSM since 12:30. However, CSSM team will now need to correct the stock data for around 30k products before unblocking the store counts. ETA: 24 hours. 
Root cause: From the logs, we could see a policy push at 10:33 which disabled the tunnel - we need to understand the reason behind the policy push (error/intended change). 
12:00 - We have got network resource triaging the issue with CSSM team. Next update at 13:00
11:00 - MIM arranging network resource to triage the issue. </t>
    </r>
    <r>
      <rPr>
        <b/>
        <sz val="10"/>
        <color rgb="FF000000"/>
        <rFont val="Aptos Narrow"/>
        <family val="2"/>
        <scheme val="minor"/>
      </rPr>
      <t>Next update 11:30</t>
    </r>
  </si>
  <si>
    <t>Valliammai Rammasamy</t>
  </si>
  <si>
    <t>From the logs, we could see a policy push which disabled the tunnel - we need to understand the reason behind the policy push (error/intended change).</t>
  </si>
  <si>
    <t>INC239</t>
  </si>
  <si>
    <t>The Finance Team is unable to access the RPA BOT hosted on server MSHRDMNSUKP0036, which is used for running journal entries and generating the month-end table of movements.</t>
  </si>
  <si>
    <t>The Finance Team is currently performing month end activities, including preparing the table of movements and processing journal entries. As the server is inaccessible, these critical month-end tasks are being delayed.</t>
  </si>
  <si>
    <t>17:45 As part of troubleshooting an outlook access on the server MSHRDMNSUKP0036 , AD team removed server from a specific group and added to the generic group for servers which removed the local admin access. Hence to reinstate the access , DC Operations manager has confirmed post which the access has been reinstated post which team is able to login to server to proceed with activities . Incident requester confirmed to resolve incident
16:55 Samrat is involved and is working to bring in a wintel resource</t>
  </si>
  <si>
    <t xml:space="preserve">Wintel </t>
  </si>
  <si>
    <t>Richmond Gungon</t>
  </si>
  <si>
    <t>As part of troubloshooting, AD team removed server from a specific group and added to the generic group for servers which removed the local admin access.</t>
  </si>
  <si>
    <t>INC240</t>
  </si>
  <si>
    <t>WMS application inaccessible on pack screens and HHTs at Castle Donington DC (Similar to INC231)</t>
  </si>
  <si>
    <t>DC colleagues are unable to pack and despatch resulting in an elevated risk to Customer Fulfilment Rate (CFR) due to delayed or missed shipments.
Potential breach of service level agreements (SLAs) and customer delivery expectations.
Increased likelihood of customer dissatisfaction and reputational impact.
Note: SCS picking is not affected</t>
  </si>
  <si>
    <t>16:10 - No further issues reported, therefore, the incident is resolved.
11:55 - As per Redhat recommendations from INC231, Redhat suggested to increase the totem value on the primary node from "default" to "10k ms" after which the file system was moved to primary node followed by WMS application restart to restore services by 11:50. We are validating the services with Ops. 
Initial Root cause: The application cluster lost communication by 11:02 due to which the primary node restarted and the file system moved to secondary node which caused the issue. We still need to analyse the root cause with Redhat. Next update at 12:00, 12th Aug
11:28 - Linux team confirmed that they are seeing the same issue as last week. file systems moved to secondary node (126) which is causing the issue. Linux team is proceeding with the suggestion from RedHat team "the token value to added to cluster config, then failover the filesystem back to primary".
11:21 - MIM bridge is being opened and we need Linux team to triage further.</t>
  </si>
  <si>
    <t>The application cluster lost communication due to which the primary node restarted and the file system moved to secondary node which caused the issue. We still need to analyse the root cause with Redhat</t>
  </si>
  <si>
    <t>INC242</t>
  </si>
  <si>
    <t>INC000090871990</t>
  </si>
  <si>
    <t>Colleagues are unable to connect to PRA portal</t>
  </si>
  <si>
    <t>CSSM team unable to connect to PRA portal to update the 3rd party stock take data in CSSM within store opening hours (07:00)</t>
  </si>
  <si>
    <t>7:45 AM - Datacenter Wintel team identified that all the jump servers (gateway to access the application) behind the PRA portal are in a powered off state. The servers have been powered on now to restore access. 
It is necessary for Cyber Security to auto-recycle the jump servers on a daily basis. This has been scheduled everyday at 3 AM BST. Looks like after the recycle / auto-maintenance, the jump servers did not come up. The reason why the jump servers did not spin up as expected will be investigated once the Wintel engineer is in Stockley Park at 9 AM.</t>
  </si>
  <si>
    <t>Akash Arjunan</t>
  </si>
  <si>
    <t>As part of the Cyber recommended server recycle, there are separate scripts configured to shut down and bring up the servers. The script responsible for bringing up the server did not yield successful results which caused the issue.​
It is nearly impossible to find the root cause as the scripts are running in a laptop and not in a server, there are no logs to identify the root cause - this poses a risk in future.</t>
  </si>
  <si>
    <t>INC246</t>
  </si>
  <si>
    <t>Latency in message processing between WMS and WCS at Castle Donington DC (similar to INC216)</t>
  </si>
  <si>
    <t xml:space="preserve">Colleague are unable to pack Shop Your Way parcels resulting in a potential customer miss promise to 1.8k orders. </t>
  </si>
  <si>
    <t>13/08: No further issues reported by the site and the message processing rate has remined stable overnight.
12/08 18:54- Mule server restarted successfully, services back up and running. rate of order processing looks as expected. We will monitor the stability until 12:00, 13th Aug.
18:45 - A decision was taken to restart the Mule  server as the Mule restart did not fix issues previously
18:19 - At 16:48, Mule slowed down the file processing from WMS to WCS. The system load on Mule was high and it was not processing any message since then. By 18:00, WMS had 23K messages piled up in the folder. The volume of messages was BAU and there was no increase in message count. WMS backed up less critical SKU messages to a different folder reducing the overall message count from 23K to 7K in the WCS folder. Once the count was reduced to 7k in wcs, Mule picked up all the pending 7K messages and processed within few minutes. Around 18:20 all critical messages were processed and the latency issue was resolved. However, as a proactive actions, Mule Servers responsible for WMS and WCS flows are being restarted (the server was not restarted before 2 months during the recovery). Mule team tried taking a trace dump during the issue, however, this could not be performed due to another issue which is now fixed. From 18:30 to 18:40, WMS also processed the backed up 16k messages and there are no outstanding messages to process.
18:06 - The Integration Team is currently investigating the messaging delay issue via a MIM bridge call. Please note that the scheduled Control-M activity will proceed as planned, as it is not impacted by this issue. Might utilise the time window between 6pm and 7pm to rectify the messaging delay issues. A restart of Mule services is currently being performed within the Control M outage to minimise the impact window. Next update at 19:00</t>
  </si>
  <si>
    <t>Mule slowed down the file processing from WMS to WCS. The system load on Mule was high and it was not processing any message since then.</t>
  </si>
  <si>
    <t>INC247</t>
  </si>
  <si>
    <t>Customers receiving OOS (Out of Stock) message on a small amount of products while checking out on the M&amp;S.com website</t>
  </si>
  <si>
    <t>Currently, around 18 to 20% of customers are receiving the Out of stock message for a small amount of products while checking on the website resulting in poor customer experience. Customers would also miss the next day delivery option for the impacted products due to the issue. 
Note: No order drop observed.</t>
  </si>
  <si>
    <t>14/08- 13:00: Business has validated the Out of stock trend and confirmed that the OOS trend is within the limited threshold and application has been stable for more than 12hrs. Hence the incident has been set resolved based Business user confirmation. NFU
12:00: OMS Emergency Maintenance (last night)  was successful and SOD (Start of Day) processing today morning completed without any issues. We will continue to monitor the application for stability until today, end of the day before resolving the incident. Next update: 17:00, 14/08. 
17:00 - Technical investigation reveals that the health monitor cannot accurately maintain the heartbeat table, leading to incorrect server status (Inactive vs active) being processed. Additionally, recent out-of-memory errors may have contributed to this inaccuracy and created stale records. To address this, OMS team has scheduled emergency maintenance for a 2-hour outage tonight from 23:00 to 01:00. During this time, the servers will be taken down and the heartbeat table will be purged to ensure it contains the latest and most accurate entries after the restart. Incident  will be monitored until tomorrow to confirm whether the issue is fully resolved. Next update at 12:00 on 14th Aug.
14:45 - Recovery steps completed and services restored, OOS is back to BAU. Investigation will continue to narrow down exact root cause further to avoid occurrences tomorrow morning. Also, teams are working on a remediation plan for tomorrow morning that requires multiple teams to execute recovery steps. Next update at 12:00 on 14th Aug.
13:20 -Investigation shows an issue during RTAM (Real-Time Availability Monitoring) this morning, the alerts table in OMS did not update for some of the items under our ISF (In Store Fulfilment) stores. As a result, this is causing OOS (Out Of Stock) in checkout because the Availability Service (AS) is providing availability.
Recovery step is in process, AS team using the Ingestion Tool will update all items in stock under our ISF stores with +1 qty to OMS and once processed by OMS AS Team will trigger another feed for the current positive qty view.
Root cause for OMS alerts table not getting updated will be taken up by the team post mitigation and restoring the services. Next update: 16:00
10:30 -  The start of day inventory files for Donington and Thorncliffe failed in OMS this morning due to a start of file indicator being missing. The team reprocessed the SOD file and adjusted the subsequent IAA (Interim Availability Advice) messages; however, the OOS percentage has remained high. Top items are being checked in all the systems to understand the cause. As of now - 1K orders less placed compared to yesterday's trend. After initial investigations it is believed that the start of file indicator issue is due to some stale records which need to be cleared to prevent this issue from reoccurring however first we need to align the stock picture in OMS to AS. [Next Update around 12:00 -12:30]
09:58: There is a sync issue between Availability Service and OMS resulting in the issue. OMS (Order Management System) will now retrigger the sync between AS and OMS followed by a reconciliation of stock position through the Start of Day file received by OMS. Next update at 11:00</t>
  </si>
  <si>
    <t>Investigation shows an issue during RTAM (Real-Time Availability Monitoring), the alerts table in OMS did not update for some of the items under our ISF (In Store Fulfilment) stores. As a result, this is causing OOS (Out Of Stock) in checkout because the Availability Service (AS) is providing availability.</t>
  </si>
  <si>
    <t>INC250</t>
  </si>
  <si>
    <t>INC000090877976</t>
  </si>
  <si>
    <t>Travel money store colleagues unable to login to Xtris application on the honeywells across 480 Non Bureau stores.</t>
  </si>
  <si>
    <t xml:space="preserve">Store colleagues will be unable to provide currencies to customers who ordered Travel Money through Click &amp; Collect resulting in poor customer experience. </t>
  </si>
  <si>
    <t>16/08:
16:34 - Eurochange have reverted the network change by 15/08, 18:20, which caused the issue. Store validations completed and no further issues reported from both operational and tech desks. All system health checks remain stable. PIR and RCA will be performed on 19/08.
15/08
18:20 - The network change was reverted by Eurochange by 18:20. Store validations underway and we will resolve the incident by tomorrow afternoon. Next update at 16/08, 16:00
18:05 - Between 18:30 and 20:00, if the store has already prepared a order, with manual id verification, this will be handed over. However, if the order has not been packed, the customers will be refused to be handing the order. In addition, the travel money collection propostion has been moved to 16th Aug. Vendor Eurochange has confirmed that there was network change performed within their infrastructure and they are currently performing actions to fix the issue. Next update at 19:00
17:54 - Xtris is supported by Eurochange and they are currently looking at the issue. Also, we are checking if any network changes have caused the issue. Next update at 19:00</t>
  </si>
  <si>
    <t>Eurochange</t>
  </si>
  <si>
    <t>A network change deployed by Eurochange. An unauthorised network change made to the DNS server in production to facilitate the 25 laptop build for the Branch support colleagues. There was no notification of the change at Eurochange &amp; M&amp;S.</t>
  </si>
  <si>
    <t>INC253</t>
  </si>
  <si>
    <t>INC000090879367</t>
  </si>
  <si>
    <t xml:space="preserve">Foods and FH&amp;B colleagues unable to access SRD (Space, Range &amp; Display) application through Blue Yonder Citrix URL </t>
  </si>
  <si>
    <t>Food</t>
  </si>
  <si>
    <r>
      <rPr>
        <b/>
        <sz val="10"/>
        <color rgb="FF000000"/>
        <rFont val="Aptos Narrow"/>
        <family val="2"/>
        <scheme val="minor"/>
      </rPr>
      <t>Finance Impact:</t>
    </r>
    <r>
      <rPr>
        <sz val="10"/>
        <color rgb="FF000000"/>
        <rFont val="Aptos Narrow"/>
        <family val="2"/>
        <scheme val="minor"/>
      </rPr>
      <t xml:space="preserve"> 140-200 man hours lost in Foods Department - Finance impact cannot be ascertained
70 Colleagues across Foods and FH&amp;B are unable to plan the space, range and display information impacting planograms and floor planning. Also, there is a requirement to complete the data alignment activity by tonight to be able to send the ranging info to Relex, if not met, this impacts Foods ordering &amp; allocation. SRD open access remains unaffected.</t>
    </r>
  </si>
  <si>
    <t>18/08
15:00 - There was a modification made to the network policy by Blue yonder responsible for managing the M&amp;S IP addresses at 12:17 which caused the issue. The changes were reverted by 14:47 to restore services. 
14:00 - M&amp;S Network team are currently triaging the Zscaler logs to identify the issue. Next update at 14:30.
13:25 - We have raised a case with Blue Yonder to investigate the issue. In parallel, we are engaging with Zscaler engineer to triage further on a MIM bridge. Next update at 14:30</t>
  </si>
  <si>
    <t>Lisy Eucharista</t>
  </si>
  <si>
    <t xml:space="preserve">There was a modification made to the network policy by Blue yonder responsible for managing the M&amp;S IP addresses which caused the issue. </t>
  </si>
  <si>
    <t>INC256</t>
  </si>
  <si>
    <t>Order Drop on M&amp;S.com Website due to payment failure (order drops occurred between 21:29 – 21:32 &amp; 21:41 – 21:53)</t>
  </si>
  <si>
    <t>Loss of revenue impacting both Web &amp; Mobile App Channels.
Drop in card &amp; ApplePay payments
Customers trying to pay via card would have faced a decline response in checkout and asked to use a different payment method.
Some customers would have also experienced an increase in errors when attempting make payment and place order.</t>
  </si>
  <si>
    <t>22:57:  MIM resolved communication has been and incident has been marked a resolved.
22:15: Worldine (A third Party providing payment processing services to M&amp;S) informed that, they were experiencing a technical issue when processing Payments. 
The payment team investigated and found that the issues with worldline coincided with the timing of both order drops. Payments were taken offline (Held during the impacted period to be retried later when services with Worldline are back up), however, it was identified that a significant number of orders did not successfully have payment processed offline and this is the reason why there was a drop in orders. The issue was resolved at 21:53 with the minute-by-minute order count returning to normal volumes. Teams will follow up to understand the root cause from Worldline.
21:55: MIM bridge shared</t>
  </si>
  <si>
    <t>Worldline (3rd party vendor)</t>
  </si>
  <si>
    <t>Aadil Kasmani</t>
  </si>
  <si>
    <t>The payment team investigated and found that the issues with worldline coincided with the timing of both order drops. Payments were taken offline (Held during the impacted period to be retried later when services with Worldline are back up), however, it was identified that a significant number of orders did not successfully have payment processed offline and this is the reason why there was a drop in orders.</t>
  </si>
  <si>
    <t>INC257</t>
  </si>
  <si>
    <t>Some customer orders are stuck in “On its Way” status, with no accurate updates visible to customers or contact centre agents.</t>
  </si>
  <si>
    <t xml:space="preserve">Customers are unable to see accurate progress updates on order status, leading to poor customer experience. Contact centre colleagues also see the generic status “On Its Way”, preventing them from providing correct order information. Approx, 2400 orders are impacted so far. 
 </t>
  </si>
  <si>
    <r>
      <rPr>
        <sz val="10"/>
        <color rgb="FF000000"/>
        <rFont val="Aptos Narrow"/>
        <family val="2"/>
        <scheme val="minor"/>
      </rPr>
      <t xml:space="preserve">16:00 - IBI job for missing or damaged ran successfully as per schedule and email comms for were triggered without any issues. Stats from today’s scheduled run. 631 orders were marked as missing or damaged. 346 orders were reshipped to customer
11:05: Configuration e-fix for IBI (Intelligent booking-In) was deployed and confirmed that the eligible orders (~2.3K) were picked-up and processed successfully. Email comms triggered for the orders marked as missing or damaged. 839 orders were reshipped to customers and 1376 Orders were marked as missing or damaged. 
OMS team will continue to monitor IBI job to ensure the jobs execute as per schedule (today - 19/08) and performs the logic as expected.
</t>
    </r>
    <r>
      <rPr>
        <b/>
        <sz val="10"/>
        <color rgb="FF000000"/>
        <rFont val="Aptos Narrow"/>
        <family val="2"/>
        <scheme val="minor"/>
      </rPr>
      <t xml:space="preserve"> Next update: 16:00
</t>
    </r>
    <r>
      <rPr>
        <sz val="10"/>
        <color rgb="FF000000"/>
        <rFont val="Aptos Narrow"/>
        <family val="2"/>
        <scheme val="minor"/>
      </rPr>
      <t>10:17:  OMS team have now deployed the fix and currently the stuck orders are being replayed. Fetching more details on the fix and reiterated on raising a retro change to document the fix. Next update: 12:00
09:10 OMS team have a fix in place and implementation in progress . they will raise a retro change. Next update: 10:30, 19/08/2025</t>
    </r>
  </si>
  <si>
    <t>CHG2311</t>
  </si>
  <si>
    <t>INC260</t>
  </si>
  <si>
    <t>External ASNs not loaded into WMS across all FH&amp;B warehouses for a number of direct containers</t>
  </si>
  <si>
    <t>FH&amp;B warehouses including Donington are unable to receive the containers resulting in delays in booking into warehouses and send to stores.
Note: Manual Workaround exists to mitigate impact</t>
  </si>
  <si>
    <r>
      <t xml:space="preserve">17/09:
16:30: Most of the stock discrepency resulting in manual work around was caused by Blind Receiving  of PO. However going forward it will be dealt with by the swat team agreed as part of INC327 (P1). The SWAT team will carry out manual workarounds to prevent further discrepancies caused by incorrect inbound operations. Hence we have agreed with business to resolve the issue. 
16/09 -18:30 -BAU process of retriggering ASN being followed for any of the missing ASNs. Manual workaround being done as an exception.
Team are reviewing recovery and resolution plan to ensure root cause fix in place. Dependency on SAP and FB&amp;H teams. Warehouse Compliance team users will be provided access to BPM to update the weight and dimension in the interim.
Requirement for Power app solution being finalised.
Next update : 17/09/2025 17:30
15/09 -17:30 - BAU process of retriggering ASN being followed for any of the missing ASNs. Manual workaround being done as an exception. Team are reviewing recovery and resolution plan to ensure root cause fix in place. Dependency on SAP and FB&amp;H teams. Warehouse Compliance team users will be provided access to BPM to update the weight and dimension in the interim. Form for the supplier to capture the weight and dimension was found to be impractical for size complex strokes. Option of using Power app being explored.  </t>
    </r>
    <r>
      <rPr>
        <b/>
        <sz val="10"/>
        <color rgb="FF000000"/>
        <rFont val="Aptos Narrow"/>
        <family val="2"/>
        <scheme val="minor"/>
      </rPr>
      <t>Next update at 17:30 on 16/09.</t>
    </r>
    <r>
      <rPr>
        <sz val="10"/>
        <color rgb="FF000000"/>
        <rFont val="Aptos Narrow"/>
        <family val="2"/>
        <scheme val="minor"/>
      </rPr>
      <t xml:space="preserve">
13/09 - 1.	BAU process of retriggering ASN being followed for any of the missing ASNs. Manual workaround being done as an exception.
2.	Team are reviewing recovery and resolution plan to ensure root cause fix in place. Dependency on SAP and FB&amp;H teams. Warehouse Compliance team users will be provided access to BPM to update the weight and dimension in the interim.
	All warehouses now have access to SAP BPM.
Development of the Form for the Suppliers to capture weight and dimension is completed. Planned for testing and go live with some of the suppliers next week. [Next update at 14/09, 17:30]
12/09 - ASNs from Editrack is loading into WMS without manual intervention. BAU process of retriggering ASN being followed for any of the missing ASNs.Team are reviewing recovery and resolution plan to ensure root cause fix in place. Dependency on SAP and FB&amp;H teams. Warehouse Compliance team users will be provided access to BPM to update the weight and dimension in the interim. All warehouses now have access to SAP BPM. Development of the Form for the Suppliers to capture weight and dimension is completed. Planned for testing and go live with some of the suppliers next week. </t>
    </r>
    <r>
      <rPr>
        <b/>
        <sz val="10"/>
        <color rgb="FF000000"/>
        <rFont val="Aptos Narrow"/>
        <family val="2"/>
        <scheme val="minor"/>
      </rPr>
      <t>Next update at 17:30, 13/09</t>
    </r>
    <r>
      <rPr>
        <sz val="10"/>
        <color rgb="FF000000"/>
        <rFont val="Aptos Narrow"/>
        <family val="2"/>
        <scheme val="minor"/>
      </rPr>
      <t xml:space="preserve">
11/09 - ASNs from Editrack is loading into WMS without manual intervention. BAU process of retriggering ASN being followed for any of the missing ASNs.
 Team are reviewing recovery and resolution plan to ensure root cause fix in place. Dependency on SAP and FB&amp;H teams. Warehouse Compliance team users will be provided access to BPM to update the weight and dimension in the interim.
After the Network change, Donington, Bradford, Stoke, Welham and Hemel can access BPM on the laptop on Salina.
Swindon and Thorncliffe will be rolled out next.
 Hemel : External ASN - 2 containers are pending
Internal ASN - No outstanding ASN. URNs are on hold in WMS because of Pricing updates still being done.</t>
    </r>
    <r>
      <rPr>
        <b/>
        <sz val="10"/>
        <color rgb="FF000000"/>
        <rFont val="Aptos Narrow"/>
        <family val="2"/>
        <scheme val="minor"/>
      </rPr>
      <t xml:space="preserve">
</t>
    </r>
    <r>
      <rPr>
        <sz val="10"/>
        <color rgb="FF000000"/>
        <rFont val="Aptos Narrow"/>
        <family val="2"/>
        <scheme val="minor"/>
      </rPr>
      <t xml:space="preserve">10/09 - 17:31 - ASNs from Editrack is loading into WMS without manual intervention. BAU process of retriggering ASN being followed for any of the missing ASNs.
Updating the Article Master data on SAP and triggering to downstream systems is ongoing. Article update is retriggered from SAP on a need basis. Team are reviewing recovery and resolution plan to ensure root cause fix in place. Dependency on SAP and FB&amp;H teams. Warehouse Compliance team users will be provided access to BPM to update the weight and dimension in the interim. Stoke still cannot access BPM either on desktop or laptop. Further investigation in progress. Access to BPM for Hemel team being prioritised </t>
    </r>
    <r>
      <rPr>
        <b/>
        <sz val="10"/>
        <color rgb="FF000000"/>
        <rFont val="Aptos Narrow"/>
        <family val="2"/>
        <scheme val="minor"/>
      </rPr>
      <t xml:space="preserve">Next Update : 11/09/2025 19:00
</t>
    </r>
    <r>
      <rPr>
        <sz val="10"/>
        <color rgb="FF000000"/>
        <rFont val="Aptos Narrow"/>
        <family val="2"/>
        <scheme val="minor"/>
      </rPr>
      <t xml:space="preserve">
09/09:
1. Manual workaround being done to ensure ASNs are available for Sea freight, Air freight and DDP containers in WMS for Ops to receive stock as an exception. ASNs from Editrack is loading into WMS without manual intervention.
2. Updating the Article Master data on SAP and triggering to downstream systems is ongoing. Article update is still being worked on by the Compliance team. 
3. Teams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with Stoke planned for tomorrow. 
</t>
    </r>
    <r>
      <rPr>
        <b/>
        <sz val="10"/>
        <color rgb="FF000000"/>
        <rFont val="Aptos Narrow"/>
        <family val="2"/>
        <scheme val="minor"/>
      </rPr>
      <t xml:space="preserve">[Next update at 10/09 17:30]
</t>
    </r>
    <r>
      <rPr>
        <sz val="10"/>
        <color rgb="FF000000"/>
        <rFont val="Aptos Narrow"/>
        <family val="2"/>
        <scheme val="minor"/>
      </rPr>
      <t xml:space="preserve">
08/09:
1. Manual workaround being done to ensure ASNs are available for Sea freight, Air freight and DDP containers in WMS for Ops to receive stock as an exception.
        ASNs from Editrack is loading into WMS without manual intervention.
2. Updating the Article Master data on SAP and triggering to downstream systems is ongoing. Article update is still being worked on by the Compliance team. 
3. Teams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with Stoke planned for tomorrow. 
</t>
    </r>
    <r>
      <rPr>
        <b/>
        <sz val="10"/>
        <color rgb="FF000000"/>
        <rFont val="Aptos Narrow"/>
        <family val="2"/>
        <scheme val="minor"/>
      </rPr>
      <t xml:space="preserve">[Next update at 09/09 17:30]
</t>
    </r>
    <r>
      <rPr>
        <sz val="10"/>
        <color rgb="FF000000"/>
        <rFont val="Aptos Narrow"/>
        <family val="2"/>
        <scheme val="minor"/>
      </rPr>
      <t xml:space="preserve">
07/09:
1. Manual workaround being done to ensure ASNs are available for Sea freight, Air freight and DDP containers in WMS for Ops to receive stock as an exception.
ASNs from Editrack is loading into WMS without manual intervention.
2. Updating the Article Master data on SAP and triggering to downstream systems is ongoing.
166 articles which needs weight and dimension to be updated in SAP will be done tomorrow.
3. Team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was done with Welham Green users. Users were able to access BPM on the laptop on Salina. They were not able to log into BPM from the desktops. This is being investigated.
It will be rolled out to other DCs next week once the desktop issue is sorted.
Next update : 08/09/2025 17:30
06/09: 
1. Manual workaround ongoing to ensure ASNs are available for Sea freight, Air freight and DDP containers in WMS for Ops to receive stock.
2. Updating the Article Master data on SAP and triggering to downstream systems is ongoing.
All containers planned for Donington, Bradford and Hemel till 30th Sept which did not have ASN in WMS was identified.
3555 UPCs for the above list of containers did not have the article details in Editrack
3389 has been retriggered out of SAP. The rest need the weight and dimension to be updated by the user.
New ASN created for these containers will now flow to WMS without manual intervention.
3. Team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was done with Welham Green users. Users were able to access BPM on the laptop on Salina. They were not able to log into BPM from the desktops. This is being investigated.
It will be rolled out to other DCs next week once the desktop issue is sorted. </t>
    </r>
    <r>
      <rPr>
        <b/>
        <sz val="10"/>
        <color rgb="FF000000"/>
        <rFont val="Aptos Narrow"/>
        <family val="2"/>
        <scheme val="minor"/>
      </rPr>
      <t xml:space="preserve">Next Update: 07/09/2025 17:30
</t>
    </r>
    <r>
      <rPr>
        <sz val="10"/>
        <color rgb="FF000000"/>
        <rFont val="Aptos Narrow"/>
        <family val="2"/>
        <scheme val="minor"/>
      </rPr>
      <t xml:space="preserve">05/09: Manual workarounds are still in place to ensure ASNs are available for Sea freight, Air freight, and DDP containers in WMS so that operations can receive stock.
Article Master data updates in SAP are ongoing and being pushed to downstream systems.
Missing weights and dimensions from International Hubs have been retriggered from SAP.
Next Update: 06/09/2025 17:30
04/09: 
18:10 - Manual workaround ongoing to ensure ASNs are available for Sea freight, Air freight and DDP containers in WMS for Ops to receive stock. Updating the Article Master data on SAP and triggering to downstream systems is ongoing. Approx. 216k updates to be completed. All of 216K updates has been triggered out of SAP to the downstream system. 
Team are reviewing recovery and resolution plan to ensure root cause fix in place. Dependency on SAP and FB&amp;H teams. Warehouse Compliance team users will be provided access to BPM to update the weight and dimension in the interim. Change Request CHG2721 is being presented to CAB tomorrow morning. Welham Green will be implemented first with people being present on site to check. </t>
    </r>
    <r>
      <rPr>
        <b/>
        <sz val="10"/>
        <color rgb="FF000000"/>
        <rFont val="Aptos Narrow"/>
        <family val="2"/>
        <scheme val="minor"/>
      </rPr>
      <t xml:space="preserve">Next update : 05/09/2025 17:30
</t>
    </r>
    <r>
      <rPr>
        <sz val="10"/>
        <color rgb="FF000000"/>
        <rFont val="Aptos Narrow"/>
        <family val="2"/>
        <scheme val="minor"/>
      </rPr>
      <t xml:space="preserve">03/09: 
17:00 - Manual workaround ongoing to ensure ASNs are available for Sea freight, Air freight and DDP containers in WMS for Ops to receive stock. Updating the Article Master data on SAP and triggering to downstream systems is ongoing. Approx. 216k updates to be completed. Team are reviewing recovery and resolution plan to ensure root cause fix in place. Dependency on SAP and FB&amp;H teams. Warehouse Compliance team users will be provided access to BPM to update the weight and dimension in the interim.
Change Request CHG2721 is being raised to whitelist the URLs for all the warehouses.
Welham Green will be implemented first with people being present on site to check. </t>
    </r>
    <r>
      <rPr>
        <b/>
        <sz val="10"/>
        <color rgb="FF000000"/>
        <rFont val="Aptos Narrow"/>
        <family val="2"/>
        <scheme val="minor"/>
      </rPr>
      <t xml:space="preserve">Next update : 04/09/2025 17:30
</t>
    </r>
    <r>
      <rPr>
        <sz val="10"/>
        <color rgb="FF000000"/>
        <rFont val="Aptos Narrow"/>
        <family val="2"/>
        <scheme val="minor"/>
      </rPr>
      <t xml:space="preserve">
02/09: 
1745 - Manual workaround ongoing to ensure ASNs are available for Sea freight, Air freight and DDP containers in WMS for Ops to receive stock. Updating the Article Master data on SAP and triggering to downstream systems is ongoing. Approx. 216k updates to be completed. The team is reviewing recovery and resolution plan to ensure root cause fix in place. Dependency on SAP and FB&amp;H teams. Warehouse Compliance team users will be provided access to BPM to update the weight and dimension in the interim. A solution has been found to implement BPM on desktops and has been tested in Donington. CR being raised to get the URLs whitelisted for other warehouses. 
</t>
    </r>
    <r>
      <rPr>
        <b/>
        <sz val="10"/>
        <color rgb="FF000000"/>
        <rFont val="Aptos Narrow"/>
        <family val="2"/>
        <scheme val="minor"/>
      </rPr>
      <t xml:space="preserve">Next update : 03/09/2025 17:30
</t>
    </r>
    <r>
      <rPr>
        <sz val="10"/>
        <color rgb="FF000000"/>
        <rFont val="Aptos Narrow"/>
        <family val="2"/>
        <scheme val="minor"/>
      </rPr>
      <t xml:space="preserve">
01/09: 
18:30 - Manual workaround ongoing to ensure ASNs are available for Sea freight, Air freight and DDP containers in WMS for Ops to receive stock. Updating the Article Master data on SAP is ongoing. Approx. 183k updates to be completed. Team are reviewing recovery and resolution plan to ensure root cause fix in place. Dependency on SAP and FB&amp;H teams. Warehouse Compliance team users will be provided access to BPM to update the weight and dimension in the interim.
Laptops are being built to be sent to the warehouses.Next update : </t>
    </r>
    <r>
      <rPr>
        <b/>
        <sz val="10"/>
        <color rgb="FF000000"/>
        <rFont val="Aptos Narrow"/>
        <family val="2"/>
        <scheme val="minor"/>
      </rPr>
      <t xml:space="preserve">02/09/2025 17:30
</t>
    </r>
    <r>
      <rPr>
        <sz val="10"/>
        <color rgb="FF000000"/>
        <rFont val="Aptos Narrow"/>
        <family val="2"/>
        <scheme val="minor"/>
      </rPr>
      <t xml:space="preserve">31/08 - Manual workaround ongoing to ensure ASNs are available for Sea freight, Air freight and DDP containers in WMS for Ops to receive stock.
Updating the Article Master data on SAP is ongoing. Approx. 186k updates to be completed.
Loading into SAP and sending of 20K articles on I016 to downstream systems completed today.
Dept/Stroke/UPC details for 88 priority containers has been extracted. Missing dimension and weight for these UPCs will be loaded into SAP starting Monday.
Team are reviewing recovery and resolution plan to ensure root cause fix in place. Dependency on SAP and FB&amp;H teams. Warehouse Compliance team users will be provided access to BPM to update the weight and dimension in the interim.
Zscaler cannot be installed on desktops. Plan to move them to SRAS on Monday. Alternative option of providing laptops to the users is also being worked on. </t>
    </r>
    <r>
      <rPr>
        <b/>
        <sz val="10"/>
        <color rgb="FF000000"/>
        <rFont val="Aptos Narrow"/>
        <family val="2"/>
        <scheme val="minor"/>
      </rPr>
      <t xml:space="preserve">Next update at 20:30, 01/09
</t>
    </r>
    <r>
      <rPr>
        <sz val="10"/>
        <color rgb="FF000000"/>
        <rFont val="Aptos Narrow"/>
        <family val="2"/>
        <scheme val="minor"/>
      </rPr>
      <t>30/08 - Manual workaround ongoing to ensure ASNs are available for Sea freight, Air freight and DDP containers in WMS for Ops to receive stock.
Updating the Article Master data on SAP is ongoing. Approx. 186k updates to be completed.
Loading into SAP and sending of 20K articles on I016 to downstream systems completed today.
Team are reviewing recovery and resolution plan to ensure root cause fix in place. Dependency on SAP and FB&amp;H teams. Warehouse Compliance team users will be provided access to BPM to update the weight and dimension in the interim.
Zscaler cannot be installed on desktops. Plan to move them to SRAS on Monday. Alternative option of providing laptops to the users is also being worked on.</t>
    </r>
    <r>
      <rPr>
        <b/>
        <sz val="10"/>
        <color rgb="FF000000"/>
        <rFont val="Aptos Narrow"/>
        <family val="2"/>
        <scheme val="minor"/>
      </rPr>
      <t xml:space="preserve"> Next update at 17:00, 01/09.
</t>
    </r>
    <r>
      <rPr>
        <sz val="10"/>
        <color rgb="FF000000"/>
        <rFont val="Aptos Narrow"/>
        <family val="2"/>
        <scheme val="minor"/>
      </rPr>
      <t>29/08: 17:30 - 
Manual workaround ongoing to ensure ASNs are available for Sea freight, Air freight and DDP containers in WMS for Ops to receive stock.
Updating the Article Master data on SAP is ongoing. Approx. 186k updates to be completed.
Loading into SAP and sending of 20K articles on I016 to downstream systems completed today.
Loading of 31K article updates in SAP in progress
Team are reviewing recovery and resolution plan to ensure root cause fix in place. Dependency on SAP and FB&amp;H teams. Warehouse Compliance team users will be provided access to BPM to update the weight and dimension in the interim.
Zscaler cannot be installed on desktops. Plan to move them to SRAS on Monday. Alternative option of providing laptops to the users is also being worked on.
Hemel - 1 trailer resolved. 800 URNs which were in hold status has been resolved post Sale order and pricing trigger. Work ongoing on the other 600 URNs which are on hold.
Next update : 01/09/2025 17:30
28/08 17:30 - Manual workaround ongoing to ensure ASNs are available for Sea freight, Air freight and DDP containers in WMS for Ops to receive stock.
Updating the Article Master data on SAP is ongoing. Approx. 150k updates to be completed.
Article prioritization by Department done today. The Dimension and weight update for circa 60K articles will be completed today.Work underway to send 20K articles on I016 to downstream systems today
Team are reviewing recovery and resolution plan to ensure root cause fix in place. Dependency on SAP and FB&amp;H teams.One of the user in Welham Green who has M&amp;S laptop and Zscaler installed can access SAP BPM. The desktops and laptops in the warehouses are not managed via InTune and appear to be managed by local DC IT contacts. Looking at options to install Zscaler on these devices
2 more containers reported by Hemel has been fixed. Work underway on the other 7.</t>
    </r>
    <r>
      <rPr>
        <b/>
        <sz val="10"/>
        <color rgb="FF000000"/>
        <rFont val="Aptos Narrow"/>
        <family val="2"/>
        <scheme val="minor"/>
      </rPr>
      <t xml:space="preserve"> Next Update 29/08/2025 17:30
</t>
    </r>
    <r>
      <rPr>
        <sz val="10"/>
        <color rgb="FF000000"/>
        <rFont val="Aptos Narrow"/>
        <family val="2"/>
        <scheme val="minor"/>
      </rPr>
      <t xml:space="preserve">27/08: 15:30 - 1.	Manual workaround ongoing to ensure ASNs are available in WMS for Ops to receive stock. Check for DDP and air freight trailers included along with Sea freight.
2.Updating the Article Master data on SAP is ongoing. Approx. 150k updates to be completed.
•	714 articles which has Dims and Weights matched between SAP and WMS will be triggered today
•	Identification of articles for which an approximate weight can be updated is underway
3. Team are reviewing recovery and resolution plan to ensure root cause fix in place. Dependency on SAP and FB&amp;H teams.
•	SAP BPM access has been provided to Compliance team users of 3 warehouses who can update the Dims and Weights as a short term solution
4. 2 of the 11 containers reported by Hemel has been fixed. Work underway on the other 9. Next update : 28/08/2025 16:30
26/08: Manual workaround ongoing to ensure ASNs are available in WMS for Ops to receive stock.  (Extract the ASN from Editract, convert ASN and manually load into WMS). The main focus is to ensure the Site is receiveing the stock using ASN information in WMS to mitigate the impact to site inbound operation.  150K singles was received on CD against the planned of 300k  singles for 25/08( the value combines both internal  &amp; external ASN information) and it was processed by performing manually workaround the volume is low due different mechanical issue at the site. As part of recovery the actual issue with external ASN,  We are working on updating the Article master data in Editrack as an interim fix, as the complete article master data is not interfaced into Editrack there are around 150K article master information to be interfaced. 
</t>
    </r>
    <r>
      <rPr>
        <b/>
        <sz val="10"/>
        <color rgb="FF000000"/>
        <rFont val="Aptos Narrow"/>
        <family val="2"/>
        <scheme val="minor"/>
      </rPr>
      <t xml:space="preserve">[Next update at 27/08 16:30]
</t>
    </r>
    <r>
      <rPr>
        <sz val="10"/>
        <color rgb="FF000000"/>
        <rFont val="Aptos Narrow"/>
        <family val="2"/>
        <scheme val="minor"/>
      </rPr>
      <t xml:space="preserve">
25/08: 
17:20 - Manual workaround ongoing to ensure ASNs are available in WMS for Ops to receive stock. Updating the Article Master data on SAP is ongoing. Approx.150k updates to be completed. Team are reviewing recovery and resolution plan to ensure root cause fix in place. Dependency on SAP and FB&amp;H teams. </t>
    </r>
    <r>
      <rPr>
        <b/>
        <sz val="10"/>
        <color rgb="FF000000"/>
        <rFont val="Aptos Narrow"/>
        <family val="2"/>
        <scheme val="minor"/>
      </rPr>
      <t xml:space="preserve">Next update at 16:30, 26/08.
</t>
    </r>
    <r>
      <rPr>
        <sz val="10"/>
        <color rgb="FF000000"/>
        <rFont val="Aptos Narrow"/>
        <family val="2"/>
        <scheme val="minor"/>
      </rPr>
      <t xml:space="preserve">
22/08 : Manual workaround ongoing to ensure ASNs are available in WMS for Ops to receive stock.  Updating the Article Master data on SAP has  commenced. Approx. 100k updates to be completed. Team are reviewing recovery and resolution plan to ensure root cause fix in place. Dependency on SAP and FB&amp;H teams. Next update at 17:00, 25/08.
21/08 : Manual workaround ongoing to ensure ASNs are available in WMS for Ops to receive stock. 176 containers validated and made available to Ops. Updating the Article Master data on SAP has started. 10K articles has been retriggered from SAP today. The details to get access to SAP BPM for the Warehouse operatives is still in progress.</t>
    </r>
    <r>
      <rPr>
        <b/>
        <sz val="10"/>
        <color rgb="FF000000"/>
        <rFont val="Aptos Narrow"/>
        <family val="2"/>
        <scheme val="minor"/>
      </rPr>
      <t xml:space="preserve"> </t>
    </r>
    <r>
      <rPr>
        <sz val="10"/>
        <color rgb="FF000000"/>
        <rFont val="Aptos Narrow"/>
        <family val="2"/>
        <scheme val="minor"/>
      </rPr>
      <t xml:space="preserve">Next update at 17:00, 25/08.
20/08: Manual workaround ongoing to ensure ASNs are available in WMS for Ops to receive stock. 180 containers validated and made available to Ops.
Updating the Article Master data on SAP has started and the initial batch of 1K articles has been sent to Editrack and has been successfully processed. Plan is to send 4K articles today. Plan being put in place to provide SAP BPM access to the warehouse Compliance team who can update the Product dimensions in the short term. Next update at 17:00, 22/08.
19/08: There is an issue with Editrack in sending article info for ASNs, as the articles sent from SAP to Editrack have not been filtered out due to missing unit of measurements. Below is the plan of action: 
</t>
    </r>
    <r>
      <rPr>
        <b/>
        <sz val="10"/>
        <color rgb="FF000000"/>
        <rFont val="Aptos Narrow"/>
        <family val="2"/>
        <scheme val="minor"/>
      </rPr>
      <t>1. Short term</t>
    </r>
    <r>
      <rPr>
        <sz val="10"/>
        <color rgb="FF000000"/>
        <rFont val="Aptos Narrow"/>
        <family val="2"/>
        <scheme val="minor"/>
      </rPr>
      <t xml:space="preserve"> - Manual workaround by manually extracting the ASNs out of Editrack and converting in the correct format followed by loading into WMS. In addition, Ops are also required to update the Book to warehouse in Editrack in advance. 
</t>
    </r>
    <r>
      <rPr>
        <b/>
        <sz val="10"/>
        <color rgb="FF000000"/>
        <rFont val="Aptos Narrow"/>
        <family val="2"/>
        <scheme val="minor"/>
      </rPr>
      <t xml:space="preserve">2. Long term - </t>
    </r>
    <r>
      <rPr>
        <sz val="10"/>
        <color rgb="FF000000"/>
        <rFont val="Aptos Narrow"/>
        <family val="2"/>
        <scheme val="minor"/>
      </rPr>
      <t xml:space="preserve">The article details are being updated directly in SAP, there is a plan to send the data in bulk (10k a day) out of ~150k in total to all the downstream systems. 
3. Permanent fix - The fix is to recover SAP BPM where suppliers can amend the product dimension to allow the sync of the articles data across the systems.  </t>
    </r>
    <r>
      <rPr>
        <b/>
        <sz val="10"/>
        <color rgb="FF000000"/>
        <rFont val="Aptos Narrow"/>
        <family val="2"/>
        <scheme val="minor"/>
      </rPr>
      <t>Next update at 16:00, 20/08</t>
    </r>
  </si>
  <si>
    <t>Nagananda Shivaswamy</t>
  </si>
  <si>
    <t>Incident is still in progress</t>
  </si>
  <si>
    <t>INC261</t>
  </si>
  <si>
    <t>Internal ASNs - Systematic ASNs not flowing and failing in SAP.</t>
  </si>
  <si>
    <t>Inbound processing across all FH&amp;B warehouses including Donington is impacted and adding lot of manual works in blind receiving. This is impacting order fulfilment.
Note: Manual Workaround exists to mitigate impact</t>
  </si>
  <si>
    <r>
      <t xml:space="preserve">17/09: Most of the stock discrepency resulting in manual work around was caused by Blind Receiving  of PO. However going forward it will be dealt with by the swat team agreed as part of INC327 (P1). The SWAT team will carry out manual workarounds to prevent further discrepancies caused by incorrect inbound operations. Hence we have agreed with business to resolve the issue.
16/09 -18:30 -BAU process of retriggering ASN being followed for any of the missing ASNs. Manual workaround being done as an exception.
Team are reviewing recovery and resolution plan to ensure root cause fix in place. Dependency on SAP and FB&amp;H teams. Warehouse Compliance team users will be provided access to BPM to update the weight and dimension in the interim.
Requirement for Power app solution being finalised.
Next update : 17/09/2025 17:30
15/09 -17:30 - BAU process of retriggering ASN being followed for any of the missing ASNs. Manual workaround being done as an exception. Team are reviewing recovery and resolution plan to ensure root cause fix in place. Dependency on SAP and FB&amp;H teams. Warehouse Compliance team users will be provided access to BPM to update the weight and dimension in the interim. Form for the supplier to capture the weight and dimension was found to be impractical for size complex strokes. Option of using Power app being explored.  </t>
    </r>
    <r>
      <rPr>
        <b/>
        <sz val="10"/>
        <color rgb="FF000000"/>
        <rFont val="Arial"/>
        <family val="2"/>
      </rPr>
      <t>Next update at 17:30 on 16/09.</t>
    </r>
    <r>
      <rPr>
        <sz val="10"/>
        <color rgb="FF000000"/>
        <rFont val="Arial"/>
        <family val="2"/>
      </rPr>
      <t xml:space="preserve">
13/09 - UK DC Internal ASN : Hyde Park URNs are hold due to MAP missing for article. The trailers are being cleared once ICT update the MAP on SAP.
[Next update at 14/09, 17:30]
12/09 - UK DC Internal ASN : Hyde Park URNs are hold due to MAP missing for article. The trailers are being cleared once ICT update the MAP on SAP. next update at 17:30, 13/09
11/09 - Internal ASN - No outstanding ASN. URNs are on hold in WMS because of Pricing updates still being done.
UK DC Internal ASN : Hyde Park URNs are hold due to MAP missing for article. Aligning with ICT team to update and maintain accordingly. As a short term solution - aligning with D&amp;F team to identify the list of article going into Hyde Park and align with ICT team to maintain MAP for those articles.
 Next update : 12/09/2025 17:30
10/09 - 17:30 - ASNs from Editrack is loading into WMS without manual intervention. BAU process of retriggering ASN being followed for any of the missing ASNs.
Updating the Article Master data on SAP and triggering to downstream systems is ongoing. Article update is retriggered from SAP on a need basis. Team are reviewing recovery and resolution plan to ensure root cause fix in place. Dependency on SAP and FB&amp;H teams. Warehouse Compliance team users will be provided access to BPM to update the weight and dimension in the interim. Stoke still cannot access BPM either on desktop or laptop. Further investigation in progress. Access to BPM for Hemel team being prioritised </t>
    </r>
    <r>
      <rPr>
        <b/>
        <sz val="10"/>
        <color rgb="FF000000"/>
        <rFont val="Arial"/>
        <family val="2"/>
      </rPr>
      <t xml:space="preserve">Next Update : 11/09/2025 19:00
</t>
    </r>
    <r>
      <rPr>
        <sz val="10"/>
        <color rgb="FF000000"/>
        <rFont val="Arial"/>
        <family val="2"/>
      </rPr>
      <t xml:space="preserve">09/09:
1. Manual workaround being done to ensure ASNs are available for Sea freight, Air freight and DDP containers in WMS for Ops to receive stock as an exception. ASNs from Editrack is loading into WMS without manual intervention.
2. Updating the Article Master data on SAP and triggering to downstream systems is ongoing. Article update is still being worked on by the Compliance team. 
3. Teams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with Stoke planned for tomorrow. 
</t>
    </r>
    <r>
      <rPr>
        <b/>
        <sz val="10"/>
        <color rgb="FF000000"/>
        <rFont val="Arial"/>
        <family val="2"/>
      </rPr>
      <t xml:space="preserve">[Next update at 10/09 17:30]
</t>
    </r>
    <r>
      <rPr>
        <sz val="10"/>
        <color rgb="FF000000"/>
        <rFont val="Arial"/>
        <family val="2"/>
      </rPr>
      <t xml:space="preserve">
08/09:
1. Manual workaround being done to ensure ASNs are available for Sea freight, Air freight and DDP containers in WMS for Ops to receive stock as an exception.
        ASNs from Editrack is loading into WMS without manual intervention.
2. Updating the Article Master data on SAP and triggering to downstream systems is ongoing. Article update is still being worked on by the Compliance team. 
3. Teams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with Stoke planned for tomorrow. 
</t>
    </r>
    <r>
      <rPr>
        <b/>
        <sz val="10"/>
        <color rgb="FF000000"/>
        <rFont val="Arial"/>
        <family val="2"/>
      </rPr>
      <t xml:space="preserve">[Next update at 09/09 17:30]
</t>
    </r>
    <r>
      <rPr>
        <sz val="10"/>
        <color rgb="FF000000"/>
        <rFont val="Arial"/>
        <family val="2"/>
      </rPr>
      <t xml:space="preserve">
07/09:
1. Manual workaround being done to ensure ASNs are available for Sea freight, Air freight and DDP containers in WMS for Ops to receive stock as an exception.
ASNs from Editrack is loading into WMS without manual intervention.
2. Updating the Article Master data on SAP and triggering to downstream systems is ongoing.
166 articles which needs weight and dimension to be updated in SAP will be done tomorrow.
3. Team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was done with Welham Green users. Users were able to access BPM on the laptop on Salina. They were not able to log into BPM from the desktops. This is being investigated.
It will be rolled out to other DCs next week once the desktop issue is sorted.
</t>
    </r>
    <r>
      <rPr>
        <b/>
        <sz val="10"/>
        <color rgb="FF000000"/>
        <rFont val="Arial"/>
        <family val="2"/>
      </rPr>
      <t xml:space="preserve">Next update : 08/09/2025 17:30
</t>
    </r>
    <r>
      <rPr>
        <sz val="10"/>
        <color rgb="FF000000"/>
        <rFont val="Arial"/>
        <family val="2"/>
      </rPr>
      <t xml:space="preserve">
06/09: 
1. Manual workaround ongoing to ensure ASNs are available for Sea freight, Air freight and DDP containers in WMS for Ops to receive stock.
2. Updating the Article Master data on SAP and triggering to downstream systems is ongoing.
All containers planned for Donington, Bradford and Hemel till 30th Sept which did not have ASN in WMS was identified.
3555 UPCs for the above list of containers did not have the article details in Editrack
3389 has been retriggered out of SAP. The rest need the weight and dimension to be updated by the user.
New ASN created for these containers will now flow to WMS without manual intervention.
3. Team are reviewing recovery and resolution plan to ensure root cause fix in place. Dependency on SAP and FB&amp;H teams. Warehouse Compliance team users will be provided access to BPM to update the weight and dimension in the interim.
Change Request CHG2721 has been implemented by the Network team.
Testing was done with Welham Green users. Users were able to access BPM on the laptop on Salina. They were not able to log into BPM from the desktops. This is being investigated.
It will be rolled out to other DCs next week once the desktop issue is sorted. </t>
    </r>
    <r>
      <rPr>
        <b/>
        <sz val="10"/>
        <color rgb="FF000000"/>
        <rFont val="Arial"/>
        <family val="2"/>
      </rPr>
      <t xml:space="preserve">Next Update: 07/09/2025 17:30
</t>
    </r>
    <r>
      <rPr>
        <sz val="10"/>
        <color rgb="FF000000"/>
        <rFont val="Arial"/>
        <family val="2"/>
      </rPr>
      <t xml:space="preserve">
05/09: Manual workarounds are still in place to ensure ASNs are available for Sea freight, Air freight, and DDP containers in WMS so that operations can receive stock.
Article Master data updates in SAP are ongoing and being pushed to downstream systems.
Missing weights and dimensions from International Hubs have been retriggered from SAP.
Next Update: 06/09/2025 17:30
04/09
18:10 - Manual workaround ongoing to ensure ASNs are available for Sea freight, Air freight and DDP containers in WMS for Ops to receive stock. Updating the Article Master data on SAP and triggering to downstream systems is ongoing. Approx. 216k updates to be completed. All of 216K updates has been triggered out of SAP to the downstream system. 
Team are reviewing recovery and resolution plan to ensure root cause fix in place. Dependency on SAP and FB&amp;H teams. Warehouse Compliance team users will be provided access to BPM to update the weight and dimension in the interim. Change Request CHG2721 is being presented to CAB tomorrow morning. Welham Green will be implemented first with people being present on site to check. </t>
    </r>
    <r>
      <rPr>
        <b/>
        <sz val="10"/>
        <color rgb="FF000000"/>
        <rFont val="Arial"/>
        <family val="2"/>
      </rPr>
      <t xml:space="preserve">Next update : 05/09/2025 17:30
</t>
    </r>
    <r>
      <rPr>
        <sz val="10"/>
        <color rgb="FF000000"/>
        <rFont val="Arial"/>
        <family val="2"/>
      </rPr>
      <t>03/09: 
17:00 - Manual workaround ongoing to ensure ASNs are available for Sea freight, Air freight and DDP containers in WMS for Ops to receive stock. Updating the Article Master data on SAP and triggering to downstream systems is ongoing. Approx. 216k updates to be completed. Team are reviewing recovery and resolution plan to ensure root cause fix in place. Dependency on SAP and FB&amp;H teams. Warehouse Compliance team users will be provided access to BPM to update the weight and dimension in the interim.
Change Request CHG2721 is being raised to whitelist the URLs for all the warehouses.
Welham Green will be implemented first with people being present on site to check.</t>
    </r>
    <r>
      <rPr>
        <b/>
        <sz val="10"/>
        <color rgb="FF000000"/>
        <rFont val="Arial"/>
        <family val="2"/>
      </rPr>
      <t xml:space="preserve"> Next update : 04/09/2025 17:30
</t>
    </r>
    <r>
      <rPr>
        <sz val="10"/>
        <color rgb="FF000000"/>
        <rFont val="Arial"/>
        <family val="2"/>
      </rPr>
      <t xml:space="preserve">02/09: 
1745 - Manual workaround ongoing to ensure ASNs are available for Sea freight, Air freight and DDP containers in WMS for Ops to receive stock. Updating the Article Master data on SAP and triggering to downstream systems is ongoing. Approx. 216k updates to be completed. The team is reviewing recovery and resolution plan to ensure root cause fix in place. Dependency on SAP and FB&amp;H teams. Warehouse Compliance team users will be provided access to BPM to update the weight and dimension in the interim. A solution has been found to implement BPM on desktops and has been tested in Donington. CR being raised to get the URLs whitelisted for other warehouses. 
</t>
    </r>
    <r>
      <rPr>
        <b/>
        <sz val="10"/>
        <color rgb="FF000000"/>
        <rFont val="Arial"/>
        <family val="2"/>
      </rPr>
      <t xml:space="preserve">Next update : 03/09/2025 17:30
</t>
    </r>
    <r>
      <rPr>
        <sz val="10"/>
        <color rgb="FF000000"/>
        <rFont val="Arial"/>
        <family val="2"/>
      </rPr>
      <t xml:space="preserve">
01/09: 
18:30 - Manual workaround ongoing to ensure ASNs are available for Sea freight, Air freight and DDP containers in WMS for Ops to receive stock. Updating the Article Master data on SAP is ongoing. Approx. 183k updates to be completed. Team are reviewing recovery and resolution plan to ensure root cause fix in place. Dependency on SAP and FB&amp;H teams. Warehouse Compliance team users will be provided access to BPM to update the weight and dimension in the interim.
Laptops are being built to be sent to the warehouses.Next update : 02/09/2025 17:30
31/08 - Manual workaround ongoing to ensure ASNs are available for Sea freight, Air freight and DDP containers in WMS for Ops to receive stock.
Updating the Article Master data on SAP is ongoing. Approx. 186k updates to be completed.
Loading into SAP and sending of 20K articles on I016 to downstream systems completed today.
Dept/Stroke/UPC details for 88 priority containers has been extracted. Missing dimension and weight for these UPCs will be loaded into SAP starting Monday.
Team are reviewing recovery and resolution plan to ensure root cause fix in place. Dependency on SAP and FB&amp;H teams. Warehouse Compliance team users will be provided access to BPM to update the weight and dimension in the interim.
Zscaler cannot be installed on desktops. Plan to move them to SRAS on Monday. Alternative option of providing laptops to the users is also being worked on. </t>
    </r>
    <r>
      <rPr>
        <b/>
        <sz val="10"/>
        <color rgb="FF000000"/>
        <rFont val="Arial"/>
        <family val="2"/>
      </rPr>
      <t xml:space="preserve">Next update at 18:00, 01/09
</t>
    </r>
    <r>
      <rPr>
        <sz val="10"/>
        <color rgb="FF000000"/>
        <rFont val="Arial"/>
        <family val="2"/>
      </rPr>
      <t>30/08 - Manual workaround ongoing to ensure ASNs are available for Sea freight, Air freight and DDP containers in WMS for Ops to receive stock.
Updating the Article Master data on SAP is ongoing. Approx. 186k updates to be completed.
Loading into SAP and sending of 20K articles on I016 to downstream systems completed today.
Team are reviewing recovery and resolution plan to ensure root cause fix in place. Dependency on SAP and FB&amp;H teams. Warehouse Compliance team users will be provided access to BPM to update the weight and dimension in the interim.
Zscaler cannot be installed on desktops. Plan to move them to SRAS on Monday. Alternative option of providing laptops to the users is also being worked on. Next update at 17:00, 01/09.
29/08: 17:30 - 
Manual workaround ongoing to ensure ASNs are available for Sea freight, Air freight and DDP containers in WMS for Ops to receive stock.
Updating the Article Master data on SAP is ongoing. Approx. 186k updates to be completed.
Loading into SAP and sending of 20K articles on I016 to downstream systems completed today.
Loading of 31K article updates in SAP in progress
Team are reviewing recovery and resolution plan to ensure root cause fix in place. Dependency on SAP and FB&amp;H teams. Warehouse Compliance team users will be provided access to BPM to update the weight and dimension in the interim.
Zscaler cannot be installed on desktops. Plan to move them to SRAS on Monday. Alternative option of providing laptops to the users is also being worked on.
Hemel - 1 trailer resolved. 800 URNs which were in hold status has been resolved post Sale order and pricing trigger. Work ongoing on the other 600 URNs which are on hold.
Next update : 01/09/2025 17:30
28/08 17:30 - Manual workaround ongoing to ensure ASNs are available for Sea freight, Air freight and DDP containers in WMS for Ops to receive stock.
Updating the Article Master data on SAP is ongoing. Approx. 150k updates to be completed.
Article prioritization by Department done today. The Dimension and weight update for circa 60K articles will be completed today.Work underway to send 20K articles on I016 to downstream systems today
Team are reviewing recovery and resolution plan to ensure root cause fix in place. Dependency on SAP and FB&amp;H teams.One of the user in Welham Green who has M&amp;S laptop and Zscaler installed can access SAP BPM. The desktops and laptops in the warehouses are not managed via InTune and appear to be managed by local DC IT contacts. Looking at options to install Zscaler on these devices
2 more containers reported by Hemel has been fixed. Work underway on the other 7.</t>
    </r>
    <r>
      <rPr>
        <b/>
        <sz val="10"/>
        <color rgb="FF000000"/>
        <rFont val="Arial"/>
        <family val="2"/>
      </rPr>
      <t xml:space="preserve"> Next Update 29/08/2025 17:30
</t>
    </r>
    <r>
      <rPr>
        <sz val="10"/>
        <color rgb="FF000000"/>
        <rFont val="Arial"/>
        <family val="2"/>
      </rPr>
      <t xml:space="preserve">
27/08: 15:30 - 1. Manual workaround ongoing to ensure ASNs are available in WMS for Ops to receive stock. Check for DDP and air freight trailers included along with Sea freight.
2.Updating the Article Master data on SAP is ongoing. Approx. 150k updates to be completed.
•	714 articles which has Dims and Weights matched between SAP and WMS will be triggered today
•	Identification of articles for which an approximate weight can be updated is underway
3. Team are reviewing recovery and resolution plan to ensure root cause fix in place. Dependency on SAP and FB&amp;H teams.
•	SAP BPM access has been provided to Compliance team users of 3 warehouses who can update the Dims and Weights as a short term solution
4. 2 of the 11 containers reported by Hemel has been fixed. Work underway on the other 9.</t>
    </r>
    <r>
      <rPr>
        <b/>
        <sz val="10"/>
        <color rgb="FF000000"/>
        <rFont val="Arial"/>
        <family val="2"/>
      </rPr>
      <t xml:space="preserve"> Next update : 28/08/2025 16:30
</t>
    </r>
    <r>
      <rPr>
        <sz val="10"/>
        <color rgb="FF000000"/>
        <rFont val="Arial"/>
        <family val="2"/>
      </rPr>
      <t xml:space="preserve">26/08:
No latest progress on this, still waiting for the count details. Manual workaround ongoing to ensure ASNs are available in WMS for Ops to receive stock. Teams are reviewing recovery and resolution plan to ensure root cause fix in place. Dependency on SAP and FB&amp;H teams. 
</t>
    </r>
    <r>
      <rPr>
        <b/>
        <sz val="10"/>
        <color rgb="FF000000"/>
        <rFont val="Arial"/>
        <family val="2"/>
      </rPr>
      <t xml:space="preserve">[Next update at 27/08 16:30]
</t>
    </r>
    <r>
      <rPr>
        <sz val="10"/>
        <color rgb="FF000000"/>
        <rFont val="Arial"/>
        <family val="2"/>
      </rPr>
      <t xml:space="preserve">
25/08: 
17:20 - Manual workaround ongoing to ensure ASNs are available in WMS for Ops to receive stock. Updating the Article Master data on SAP is ongoing. Approx.150k updates to be completed. Team are reviewing recovery and resolution plan to ensure root cause fix in place. Dependency on SAP and FB&amp;H teams. </t>
    </r>
    <r>
      <rPr>
        <b/>
        <sz val="10"/>
        <color rgb="FF000000"/>
        <rFont val="Arial"/>
        <family val="2"/>
      </rPr>
      <t xml:space="preserve">Next update at 16:30, 26/08.
</t>
    </r>
    <r>
      <rPr>
        <sz val="10"/>
        <color rgb="FF000000"/>
        <rFont val="Arial"/>
        <family val="2"/>
      </rPr>
      <t xml:space="preserve">
21/08 - Tech have worked through clearing 40 trailers since incident reported and outstanding 41 trailers being worked through.Team have developed proactive automated script to identify trailer failures (trailer dashboard not available) to reduce impact to operations receiving. Next update at 17:00, 25/08
20/08: The internal ASNs clearance activity is ongoing involving necessary Tech teams. Team is working through outstanding 43 trailers. Next update at 17:00, 21/08.
19/08: Current actions/recovery - So far 50 trailers reported across the estate and tracking this individually with SAP , integration and WMS. SAP clearing the failure on individual ASNs. Majority of the failure attribute to Order sequence conflicting(Manually created order number conflicting with SAP order number post SAP integration live). Next update at 16:00, 20/08</t>
    </r>
  </si>
  <si>
    <t>Karthick GC</t>
  </si>
  <si>
    <t>Multiple contribution - Manual order despatch, Pricing issue, ICT not maintaining MAP price. As part of recovery exercise</t>
  </si>
  <si>
    <t>INC263</t>
  </si>
  <si>
    <t>High volume of order cancellations at Ollerton breaching the threshold of 25% due to negative DNR (Demand Notification Release)</t>
  </si>
  <si>
    <t xml:space="preserve">6k customers orders were cancelled in the last 3 days resulting in poor customer experience. </t>
  </si>
  <si>
    <r>
      <rPr>
        <sz val="10"/>
        <color rgb="FF000000"/>
        <rFont val="Aptos Narrow"/>
        <family val="2"/>
        <scheme val="minor"/>
      </rPr>
      <t xml:space="preserve">20/08 : Location unlocking in now completed which was 7629 locations, which will be reflected in the system by tomorrow, however, validations have completed and no further issues reported. 
19/08 16:30: Ollerton had created new locations and then they locked the location instead of the inventory to lock the stock and therefore, when orders were available to the customer, however, site was not able to pick and fulfil. This was due to a knowledge gap and the usual SOP has been sent to unlock the location and lock the inventory. There are around 7k locations to be unlocked which is currently in progress. </t>
    </r>
    <r>
      <rPr>
        <b/>
        <sz val="10"/>
        <color rgb="FF000000"/>
        <rFont val="Aptos Narrow"/>
        <family val="2"/>
        <scheme val="minor"/>
      </rPr>
      <t>Next update at 16:00, 20/08.</t>
    </r>
  </si>
  <si>
    <t>FH&amp;B DC Operations</t>
  </si>
  <si>
    <t>Mark Davies</t>
  </si>
  <si>
    <t xml:space="preserve">Ollerton had created new locations and then they locked the location instead of the inventory to lock the stock and therefore, when orders were available to the customer, however, site was not able to pick and fulfil. This was due to a knowledge gap and the usual SOP has been sent to unlock the location and lock the inventory. </t>
  </si>
  <si>
    <t>INC265</t>
  </si>
  <si>
    <t>INC000090883000</t>
  </si>
  <si>
    <t>Store colleagues across SDWAN and non SDWAN Travel Bureaus unable to serve customers on the tills.</t>
  </si>
  <si>
    <t>Travel Money stores are unable to exchange currencies through card payment resulting in a loss of revenue.</t>
  </si>
  <si>
    <t>28/08: Permanent fix -  CHG2518 (Firewall Changes to stop IPSec Brute Force  DDos Attacks on Fortinet EuroChange VPNs) is approved and planned to start by 11:30. Additional 24hrs is secured to accommodate any troubleshooting.
21/08: 
10:40 - Valli confirmed in resolving the incident. A fix has been provided by Fortinet and there is a plan to deploy it by 22nd Aug to eliminate the risk of future outages.
20/08: 
18:10 - There is an existing bug in between the Swindon FortiGate Firewall and Eurochange which caused the network Tunnel to go down. Without any technical intervention, the network tunnel came up due to the nature of the bug. A fix has been provided by Fortinet and there is a plan to deploy it by 22nd Aug to eliminate the risk of future outages.
17:30 - Alison reported to Valli on the issue, it includes both SDWAN and Non SDWan stores Edinburg. MIM 1 has beeb initiated, Network resources are requested to join the call.</t>
  </si>
  <si>
    <t>CHG2518</t>
  </si>
  <si>
    <t>Valliamai R</t>
  </si>
  <si>
    <t xml:space="preserve">existing bug in between the Swindon FortiGate Firewall and Eurochange which caused the network Tunnel to go down. </t>
  </si>
  <si>
    <t>INC266</t>
  </si>
  <si>
    <t>Castle Donington - Slowness observed at all Pack areas</t>
  </si>
  <si>
    <t>Ongoing performance degradation observed across multiple functional areas.
Below are the specific findings:
Boxed Work:
Slowness not confirmed due to absence of trailers.
Hanging operations remain impacted, with delays of ~15 seconds.
Users have reported intermittent freezing during this process.
Pack Functionality:
Item scan visibility on the pack screen is delayed by 20–40 seconds.
Carrier label generation post-packing is delayed by 40–60 seconds.
SYW – Despatch:
General delays observed between 10–30 seconds.
Final parcel consolidation stage shows the highest latency.</t>
  </si>
  <si>
    <r>
      <t>22/08 - All areas across the site have remained stable. Infra metrics are within threshold and Healthy.  PIR will be conducted
21/08 - 
19:00 - All areas have confirmed that the performance has returned back to normal and site is operating as expected. The incident is now under monitoring. Next update at 14:00, 22/08
18:00 - During the database movement, the WCS message flow was not stopped, which resulted in messag backlogs which caused few issues across the pack areas. The messages are being processed now - fortunately during the shift change hours at the site with minimal impact. Vendor cases have been raised to resolve the hardware issue with the storage port. The incident will be monitored until tomorrow morning to monitor stability. Next update at 19:00.
17:17 - The activity is completed and the Shop Your Way Ops feedback on move task daemons is positive and performance is back to BAU. We are monitoring and gathering feedback across site. Next update at 18:30
16:30- Package logging was enabled for the move task daemons, however, no issues were identified by Blue Yonder. Through database level investigations, some storage related errors were identified which confirmed that one of the underlying storage ports for the primary database node in Swindon is currently down due to hardware issues which MIGHT be causing the slowness issue. Therefore, a decision has been made to move the database service to the secondary node in Swindon after validating the underlying storage ports. This activity will include restarting application service and Mule services, hence, a 40 mins outage has been secured with the site. The activity will start at 16:40. Next update at 17:30
15:00 - Blue Yonder are actively investigating the logs through the package logging and will provide a further update.
14:00 - Package logging enabled for 10 move task daemons (we have 60 daemons in total) to extract the logs for Blue Yonder to investigate. Next update at 16:30.
13:30 -The slowness continues to exist in operations involving move task daemons. These daemons can process 200 lines in 10s in an usual day, however, today it is taking upto 2 mins. We have engaged Blue Yonder to investigate further. Checks were performed within Network, Linux, Database layer and no issues have been observed, Investigation continues. Next update at 16:30
12:00 - Since 11:12, the slowness issue was observed again in the SYW area impacting despatches. We are back in a call with the application &amp; Infra teams to triage the issue further. Next update at 13:30
10:00 - Following WMS application server restart, all areas have returned to BAU performance. WMS Support team have checked the examples provided and no real issues observed. Operations have also confirmed, they have seen significant improvement on the slowness at SYW as well. 
Apart from restarting WMS application, Tech have not performed or implemented any fix to resolve the slowness issue. </t>
    </r>
    <r>
      <rPr>
        <b/>
        <sz val="10"/>
        <color rgb="FF000000"/>
        <rFont val="Aptos Narrow"/>
        <family val="2"/>
        <scheme val="minor"/>
      </rPr>
      <t xml:space="preserve">Next update : 21/08 12:00.
</t>
    </r>
    <r>
      <rPr>
        <sz val="10"/>
        <color rgb="FF000000"/>
        <rFont val="Aptos Narrow"/>
        <family val="2"/>
        <scheme val="minor"/>
      </rPr>
      <t xml:space="preserve">
7:30 - Following WMS application server restart, all areas have returned to BAU performance except SYW, where slowness persists. WMS Support Team are currently investigating using examples provided by operations. A group chat has been created to coordinate further actions with all support teams (WMS, Network, Linux, Database, Cloud Ops, and CD IT) to provide updates every 4 hours.
</t>
    </r>
    <r>
      <rPr>
        <b/>
        <sz val="10"/>
        <color rgb="FF000000"/>
        <rFont val="Aptos Narrow"/>
        <family val="2"/>
        <scheme val="minor"/>
      </rPr>
      <t xml:space="preserve">Next update : 21/08 12:00.
</t>
    </r>
    <r>
      <rPr>
        <sz val="10"/>
        <color rgb="FF000000"/>
        <rFont val="Aptos Narrow"/>
        <family val="2"/>
        <scheme val="minor"/>
      </rPr>
      <t xml:space="preserve">
07:00 - Update from Operations post Application restart: 
Pack - Tested 3 benches all labels printing not seeing any slowness currently.
SYW - When scanning parcels from the chutes with HHT's seeing a few seconds delay and when scanning to the C179 a few seconds delay.
NDC  - Currently no issues across NDC.
05:30 - Site have confirmed No Customer Impact - CFR. No failures from despatch, only capability loss of 7k orders at Pack areas. 
</t>
    </r>
    <r>
      <rPr>
        <b/>
        <sz val="10"/>
        <color rgb="FF000000"/>
        <rFont val="Aptos Narrow"/>
        <family val="2"/>
        <scheme val="minor"/>
      </rPr>
      <t>Linux team</t>
    </r>
    <r>
      <rPr>
        <sz val="10"/>
        <color rgb="FF000000"/>
        <rFont val="Aptos Narrow"/>
        <family val="2"/>
        <scheme val="minor"/>
      </rPr>
      <t xml:space="preserve"> has checked the logs from 01:00 and no issues were identified.
</t>
    </r>
    <r>
      <rPr>
        <b/>
        <sz val="10"/>
        <color rgb="FF000000"/>
        <rFont val="Aptos Narrow"/>
        <family val="2"/>
        <scheme val="minor"/>
      </rPr>
      <t>Database team</t>
    </r>
    <r>
      <rPr>
        <sz val="10"/>
        <color rgb="FF000000"/>
        <rFont val="Aptos Narrow"/>
        <family val="2"/>
        <scheme val="minor"/>
      </rPr>
      <t xml:space="preserve"> investigated the logs which resulted in some network time out errors between 02:10 - 02:30, but was not significant to the delays reported. Further investigation is still ongoing.
4:34 - A significant slowness has been observed across all Pack areas since 01:37 and Issue was reported at 02:41. Despite initial investigations by WMS Support Team and Network Team, no system or network-related issues have been identified.
The root cause remains undetermined, and further investigation is required from the Linux and Database teams.</t>
    </r>
  </si>
  <si>
    <t>During the database movement, the WCS message flow was not stopped, which resulted in messag backlogs which caused few issues across the pack areas</t>
  </si>
  <si>
    <t>INC267</t>
  </si>
  <si>
    <t xml:space="preserve">SAP Cloud connector not accessible in the Stockley park. </t>
  </si>
  <si>
    <t>FH&amp;B, Finance, Foods</t>
  </si>
  <si>
    <t>22/08:
 Finance:- Payments file to BnP and Lloyds Bank will not be transferred from SAP
Foods:- OFP purchase order amendments will not be possible
FH&amp;B:- Product service data related to STIBO products will not be received into SAP
Foods: Colleagues cannot perform PO amendments. 
21/08: 34 live interfaces will be impacted across FH&amp;B, Foods, Finance. Downstream process will be impacted. 
Payment files that goes from SAP to Llyods banks will also be impacted. Banking transactions will be impacted.</t>
  </si>
  <si>
    <r>
      <rPr>
        <sz val="10"/>
        <color rgb="FF000000"/>
        <rFont val="Aptos Narrow"/>
        <family val="2"/>
        <scheme val="minor"/>
      </rPr>
      <t xml:space="preserve">An issue was identified where the SAP team was unable to connect to the queue managers via the cloud connectors using a specific port. The Network team resolved the problem by allowing the relevant IP address in the ACL switch. This action was completed by 11:00 AM yesterday. No further issues have been reported since, and the incident is now marked as resolved.
22/08 - 11:20 - Another issue was identified where SAP team were not able to connect to the queue managers via the cloud connectors through a particular port . Network team allowed the relevant IP address in the ACL switch to resolve the issue by 11:00. The incident will be monitored now for stability until 12:00, 23/08. </t>
    </r>
    <r>
      <rPr>
        <b/>
        <sz val="10"/>
        <color rgb="FF000000"/>
        <rFont val="Aptos Narrow"/>
        <family val="2"/>
        <scheme val="minor"/>
      </rPr>
      <t>Next update at 12:00, 23/08</t>
    </r>
    <r>
      <rPr>
        <sz val="10"/>
        <color rgb="FF000000"/>
        <rFont val="Aptos Narrow"/>
        <family val="2"/>
        <scheme val="minor"/>
      </rPr>
      <t xml:space="preserve">.
10:45 - The issue has been resolved for major critical flows with help of network team. The teams are still working to bring up the AMQP service which impacts the Stock adjustments, Good receipt from Navitas and Site master interfaces - minor impact. Next update at 14:00
10:30 - Through network investigations, it was identified that the SAP Cloud connector URL was getting denied in the network firewall policy as the URL was resolving to dynamic IP addresses. As the wildcard URL was allowed in the network firewall policy, due to change in IP addresses, the connections were getting denied. Therefore, we have now allowed the direct URL in the network policy after which the cloud connector is now accessible. We are validating the status now. Next update at 11:30
09:00 -  SAP team have tried reauthenticating from SP however, there is an error , the issue still exists. We need to engage Network &amp; SAP teams to triage further. Next update at 10:00
21/08 - 
15:00 - No further issues reported, therefore, the incident is being resolved.
10:20 - Post multiple reauthentication attempts from SAP team, the issue has been fixed at 10:00. Cloud connector is accessible now and the message flows are working fine as expected. Case to be raised with SAP vendor to investigate on the logs and to assess the reason behind reauthenticating everytime. </t>
    </r>
    <r>
      <rPr>
        <b/>
        <sz val="10"/>
        <color rgb="FF000000"/>
        <rFont val="Aptos Narrow"/>
        <family val="2"/>
        <scheme val="minor"/>
      </rPr>
      <t xml:space="preserve">Next Update 21/08 - 16:00
</t>
    </r>
    <r>
      <rPr>
        <sz val="10"/>
        <color rgb="FF000000"/>
        <rFont val="Aptos Narrow"/>
        <family val="2"/>
        <scheme val="minor"/>
      </rPr>
      <t xml:space="preserve">
08:25 - SAP team tried reauthenticating cloud connector but that was not working. OSS ticket raised (High priority) case logged with SAP vendor to triage the issue and SAP basis team is coordinating with them. Network team were also involved to check for any port issues. Next update: 21/08 9:30 </t>
    </r>
  </si>
  <si>
    <t>Pawankumar Manjunathan</t>
  </si>
  <si>
    <t xml:space="preserve">Through network investigations, it was identified that the SAP Cloud connector URL was getting denied in the network firewall policy as the URL was resolving to dynamic IP addresses. As the wildcard URL was allowed in the network firewall policy, due to change in IP addresses, the connections were getting denied. </t>
  </si>
  <si>
    <t>INC269</t>
  </si>
  <si>
    <t>New product information missing on the Store stock locator on the.com website - "Find in store"</t>
  </si>
  <si>
    <t xml:space="preserve">The "Find In store" feature went live this morning, however, customers can see the product on the website but cannot check the store stock for those products resulting in poor customer experience. </t>
  </si>
  <si>
    <t>22/08
12:30 - The stock updates are now flowing between CSSM and OMS/AS without any issues since the correction of the reference data in Datastage yesterday.
Spot checks in stores have also confirmed that correct information is now being displayed in Find in Store application. 
21/08
23:00 The Availability Service was updated at 21:40 for all the products, this is when the service was restored for Find in Store.OMS processed all the updates by 23:10 and these products are now also available for ISF ordering. The incident will remain open for stores to do some validations tomorrow morning. Next update: 12:00 22/08/2025
22:00 - All 3 batches (total of 1.4M records) have been retriggered and processed in Availability Services, we are waiting for the stock data to be processed in OMS before midnight. Incident will be kept under monitoring until tomorrow business hours before we get a final confirmation from the Retail business on incident closure. Next update 9AM, 22/08
19:00 - During the recovery of I0912 interface which processes the stock data from CSSM (Central Store Stock Management) to OMS (Order Management System), one of the control-M job was not turned on and hence the stock updates from CSSM did not flow through to OMS and Availability Services via Datastage.  The job has been turned on at 18:00 and testing successful for 2 products.
Next Steps: Teams are now working on a full refresh of all the 100K products for all 370 stores. The plan is to push updates in 3 batches with approx. 125 stores in each batch.  A script is being written to do this, the activity will start around 8pm at the earliest.  ETA for completion 23:00
17:30 - The issue occurred as the stock reference data is not present in OMS and Availability Service, initial assumption is to recover the reference data interface from Datastage. However, if the recovery is not a quick fix, "Find in store" feature will be disabled. Next update at 19:00.</t>
  </si>
  <si>
    <t>Datastage</t>
  </si>
  <si>
    <t>During the recovery of I0912 interface which processes the stock data from CSSM (Central Store Stock Management) to OMS (Order Management System), one of the control-M job was not turned on and hence the stock updates from CSSM did not flow through to OMS and Availability Services via Datastage</t>
  </si>
  <si>
    <t>INC270</t>
  </si>
  <si>
    <t>Duty Master is not receiving order adjustment files from WMS for Foods Bradford &amp; Milton Keynes</t>
  </si>
  <si>
    <t>Delay in receiving the Orders, Receipts &amp; Adjustment to Duty Master from Bradford &amp; Milton Keynes WMS impacting the export operations for BWS(Beers, Wines &amp; Spirits) products with HMRC compliance.</t>
  </si>
  <si>
    <r>
      <t xml:space="preserve">23/08:
18:02 - Lisy confirmed that there were no further failures as the Orders, Receipts &amp; Adjustment files to Duty Master from Bradford WMS are continued to receive at normal duration. No issues or delays observed in post the middleware pile up clearance.
22/08:
15:00 - The pileup has been cleared. Middleware team have investigated this further and found that the issue was caused due to I3005 files triggered from ASO to CSSM. The destination CSSM agent was not recovered as part of the workstream recovery and there was a file transfer pileup in that agent from the earlier incident in April. Because of which, the ASO agent tried to reach the CSSM agent continuously(via I3005 interface) which resulted in this pileup. It has been confirmed that the Duty master is receiving the files as expected now. The incident will be under monitoring until 16:00, 23/08. </t>
    </r>
    <r>
      <rPr>
        <b/>
        <sz val="10"/>
        <color rgb="FF000000"/>
        <rFont val="Aptos Narrow"/>
        <family val="2"/>
        <scheme val="minor"/>
      </rPr>
      <t xml:space="preserve">Next update at 17:00, 23/08
</t>
    </r>
    <r>
      <rPr>
        <sz val="10"/>
        <color rgb="FF000000"/>
        <rFont val="Aptos Narrow"/>
        <family val="2"/>
        <scheme val="minor"/>
      </rPr>
      <t>11:57 - It has been identified that although target systems are not enabled as part of workstream recovery but source system (CSSM) sending files is causing the slowness. We are deciding with CSSM team to clear the files which should resolve the issue. Next update at 15:00
11:20 -  The files are getting transferred to Duty Master, however, the slowness exists between On prem &amp; Azure MQFTE agents. There are currently 4 failures and we need to understand the reason behind the latency issue. Next update at 17:00
21/08
23:21: Considering that the MQFTE transfer is taking more than 5 mins and causing timeout error. we have rescheduled the file transfer job to run every 30mins instead of 5 mins. To avoid any impact to Excise duty payment in spite of the delay in the files to the duty master application.  
Next update: 09:00,22/08/2025, unless there is a significant change in status. 
22:14 The MQFTE file transfer are getting time out again. Further investigations underway with application and middleware team on MIM3. 
19:50: We performed a restart of the MQFTE agent and following which the MQFTE transfers are completing  successfully without any timeout errors. We believe there is latency between On-prem (Source) and Azure MQFTE ( Destination) agents further investigations to be made by Integration and Network team to understand the root cause. Next update: 09:00, 22/08/2025
18:30 We are observing timeout error when the file transfer is initiated from WMS to Duty master application via MQFTE (Middleware agent). We have middleware admin, Integration and network team are investigating further. Next update: 19:30,21/08/2025
17:37 - MQFTE agent responsible for the flow was validated and it was confirmed to increse the timeout config to 5 mins, however, this still did not work. Middleware team requesting Network assistance to check the latency between MQFTE agent &amp; Duty Master. Next update at 18:30</t>
    </r>
  </si>
  <si>
    <t xml:space="preserve">issue was caused due to I3005 files triggered from ASO to CSSM. The destination CSSM agent was not recovered as part of the workstream recovery and there was a file transfer pileup in that agent from the earlier incident in April. Because of which, the ASO agent tried to reach the CSSM agent continuously(via I3005 interface) which resulted in this pileup. </t>
  </si>
  <si>
    <t>INC271</t>
  </si>
  <si>
    <t xml:space="preserve">Ollerton DC Colleagues  are unable to access the WMS application.  </t>
  </si>
  <si>
    <r>
      <rPr>
        <b/>
        <sz val="10"/>
        <color rgb="FF000000"/>
        <rFont val="Aptos Narrow"/>
        <family val="2"/>
        <scheme val="minor"/>
      </rPr>
      <t xml:space="preserve">Finance Impact: </t>
    </r>
    <r>
      <rPr>
        <sz val="10"/>
        <color rgb="FF000000"/>
        <rFont val="Aptos Narrow"/>
        <family val="2"/>
        <scheme val="minor"/>
      </rPr>
      <t>£4000
Ollerton DC picking, packing and despatch activities along with E-comm label printing. Impact to E-comm CFR (Customer miss promise) - 590 orders affected</t>
    </r>
  </si>
  <si>
    <t xml:space="preserve">22/08: 
19:00 - BY WMS application availability remain stable in site and operations confirmed no further slowness observed.
10:00 - Smart CT engineer visited site at 06:00 am and observed loose stack cabling issue between stack switches. After reseating the stack cable, the switch and impacted APs came online.
Site operations confirmed the overall service restored in Chamber 5 and no further open issues in both the chambers. Monitoring in place to ensure site stability. Next update : 22nd August 20:00
03:00 Operations confirmed Chamber 5 pack stations, label printing and HHTs are working on 22nd August at 00:10 with no recovery actions performed by Tech.
Operations leveraged CH5 workstations for packing to ensure despatches are met but still affected 590 E-comm orders CFR.
JDA WMS system remained stable in both Chamber 2 and Chamber5, except for HHT losing connection in rack location in Chamber 5 impacting picking operations.
Team suspects the issue with HHT losing connection in Chamber 5 rack location is associated with one of Network switch being down. A case raised with Smart city for the impacted switch replacement and awaiting an ETA.  The application restart was deferred as JDA application availability remain stable in both chambers. Next update: 11:00, 22/08/2025
02:00: After 2:00, we have issue with HHT drop connection from certain area of Chamber 5.  Decision on WMS app restart to be made. Next update: 04:00, 22/08/2025
01:00 Operations confirmed Chamber 5 pack stations, label printing and HHTs are working fine from 00:10.Few pack stations are not connecting due to a Network switch down issue. Network team arranging engineer for replacement of the switch.Operations to leverage CH5 workstations for packing to ensure despatches for tonight is met without affecting CFR.We will connect again with Ops (Patrycja/Matt) at 02:00 am to get system feedback on stability and review site CFR impact. Decision on WMS app restart  will be taken based on system stability for next 2 hours.Next update: 04:00, 22/08/2025
23:08 Chamber 2 is operating normally and handling ~2,000 E-comm volumes tonight to avoid CFR impact.Chamber 5 is facing issues at pack workstations—label printing and HHTs are slow.
Troubleshooting is ongoing with the DC operations team.A WMS restart is planned for 22nd August after 03:00 AM if the issue continues. Next update, 04:00, 22/08/2025
21:09 : From 20:37 onwards, users were able to successfully log in to the WMS application without any recovery actions taken by the technical team. However, issues are observed with the 14 out of 28 workstation in the packing area. Also in the workstation that are working we are observing slowness. Initial validations across the operating system, database, and network layers revealed no abnormalities Next update: 22:00, 21/08/2025
19:45: Colleagues have confirmed that they are unable to access the WMS application and perform label printing. However WMS Collagaues are able  to access the application from Stockley park. We have requested the DC collagues to share the IP address from the impact HHTs to investigate further. We are having Linux, DB and Network resource to investigate further. Next update: 21:00, 21/08/2025
19:35: DC collagues are being kicked out off the WMS session when they attempt to login. WMS performed initial check and validation and requires Linux, DB and Network to investigate further </t>
  </si>
  <si>
    <t xml:space="preserve">Nandhakumar </t>
  </si>
  <si>
    <t>Smart CT engineer visited site and observed loose stack cabling issue between stack switches.</t>
  </si>
  <si>
    <t>INC272</t>
  </si>
  <si>
    <t>Delay in Relex overnight batch impacting various Foods critical flows</t>
  </si>
  <si>
    <t>Foods Final orders will be delayed to suppliers for their picking and production. The delay will cause some operational impact suppliers. However, suppliers will be advised to use  previous day's 28 day order plan if the order plan are not sent on time by 05:15, NDC allocation will be delayed impacting Bradford and Milton Keynes DC operations. Foods RDC allocations will be impacted, however contigency process will be applied to minimise the impact to store stock fullfilment until the actual store order proposal for 22/08 are generated. 28 day order plan for 22/08 will be delayed. Relex UI availabilty will be delayed.</t>
  </si>
  <si>
    <r>
      <rPr>
        <sz val="10"/>
        <color rgb="FF000000"/>
        <rFont val="Arial"/>
        <family val="2"/>
      </rPr>
      <t xml:space="preserve">23/08 10:43 Foods final orders to suppliers were sent to suppliers at 05:03 and NDC Allocations at Bradford and MK were completed at 04:23 and 04:10 respectively. Relex UI has been made available at 06:05 . Verified with Tamil and Lisy to resolve incident
17:00 - Relex batch is completed across the environments after the remediation activities to consume store balance details for 21/08.
Relex UI – Decision is made by business that UI will be kept Locked/unavailable for the rest of the day as there are no major/critical planning activity planned by the business.
Hypercare is in place for monitoring tonight Relex batch and Foods Critical Flows
</t>
    </r>
    <r>
      <rPr>
        <b/>
        <sz val="10"/>
        <color rgb="FF000000"/>
        <rFont val="Arial"/>
        <family val="2"/>
      </rPr>
      <t xml:space="preserve">Next update at 11:00, 23/08
</t>
    </r>
    <r>
      <rPr>
        <sz val="10"/>
        <color rgb="FF000000"/>
        <rFont val="Arial"/>
        <family val="2"/>
      </rPr>
      <t xml:space="preserve"> 3
11:28 - NDC allocations at Bradford and Milton Keynes DCs have completed at 09:35 and 09:28 respectively. Dublin allocations completed ta 09:25. The DCs have started picking the stock.
RDC allocations: RDC contingency files (20th files with yesterday's balance) are already loaded into the ASO.
Foods Final orders to suppliers – We have received the orders from Relex and it is currently processing in SAP before being sent to Open Text. ETA of completion : 12:00
Frozen Allocations – Contingency allocations are being processed into Bedworth. ETA: 11:30.
Relex batch is being restarted at 11:00 due to an issue with the store balance file. As the batch was restarted after midnight, the store balance file picked up the data for 22/08 instead of 21/08. Revised completion time to receive Relex files is15:00. There is no major impact to ordering and allocation due to this as the contingency has been applied. However, the Relex UI will not be available until 15:00. Business are being notified.</t>
    </r>
    <r>
      <rPr>
        <b/>
        <sz val="10"/>
        <color rgb="FF000000"/>
        <rFont val="Arial"/>
        <family val="2"/>
      </rPr>
      <t xml:space="preserve"> Next update at 16:00
</t>
    </r>
    <r>
      <rPr>
        <sz val="10"/>
        <color rgb="FF000000"/>
        <rFont val="Arial"/>
        <family val="2"/>
      </rPr>
      <t xml:space="preserve">
10:00 - </t>
    </r>
    <r>
      <rPr>
        <b/>
        <sz val="10"/>
        <color rgb="FF000000"/>
        <rFont val="Arial"/>
        <family val="2"/>
      </rPr>
      <t>NDC allocations</t>
    </r>
    <r>
      <rPr>
        <sz val="10"/>
        <color rgb="FF000000"/>
        <rFont val="Arial"/>
        <family val="2"/>
      </rPr>
      <t xml:space="preserve"> at Bradford and Milton Keynes DCs have completed at 09:35 and 09:28 respectively. Dublin allocations completed ta 09:25. The DCs have started picking the stock. </t>
    </r>
    <r>
      <rPr>
        <b/>
        <sz val="10"/>
        <color rgb="FF000000"/>
        <rFont val="Arial"/>
        <family val="2"/>
      </rPr>
      <t>RDC allocations</t>
    </r>
    <r>
      <rPr>
        <sz val="10"/>
        <color rgb="FF000000"/>
        <rFont val="Arial"/>
        <family val="2"/>
      </rPr>
      <t xml:space="preserve">: RDC contingency files (20th files with yesterday's balance) are already loaded into the ASO, BAU files we are awaiting from Relex (10:30 AM), post which we will load it to ASO.
</t>
    </r>
    <r>
      <rPr>
        <b/>
        <sz val="10"/>
        <color rgb="FF000000"/>
        <rFont val="Arial"/>
        <family val="2"/>
      </rPr>
      <t>Foods Final orders to suppliers</t>
    </r>
    <r>
      <rPr>
        <sz val="10"/>
        <color rgb="FF000000"/>
        <rFont val="Arial"/>
        <family val="2"/>
      </rPr>
      <t xml:space="preserve"> – We have received the orders from Relex and it is currently processing in SAP before being sent to Open Text. ETA of completion : 11:00
</t>
    </r>
    <r>
      <rPr>
        <b/>
        <sz val="10"/>
        <color rgb="FF000000"/>
        <rFont val="Arial"/>
        <family val="2"/>
      </rPr>
      <t>Frozen Allocations</t>
    </r>
    <r>
      <rPr>
        <sz val="10"/>
        <color rgb="FF000000"/>
        <rFont val="Arial"/>
        <family val="2"/>
      </rPr>
      <t xml:space="preserve"> – We are working with Bedworth DC and have shared the contingency volume to the site and awaiting a decision from the business. 
Relex batch being restarted at 11:00 due to an issue with the store balance file. As the batch was restarted after midnight, the store balance file picked up the data for 22/08 instead of 21/08. Revised completion time to receive Relex files by 15:00.
 Impact: 
Contingency applied to RDC, NDC and Supplier orders - no impact. 
Colleagues will not be able to access Relex UI until 15:00. Next update at 11:00
08:43 - There are two parts to this issue: SFTP issue is resolved (files are sent from FOAL to RELEX) and Relex will process the files(which are currently in progress : the workflow is Relex-&gt;FOAL-&gt;ASO-&gt;WMS End-users)
NDC allocations at Bradford and Milton Keynes DCs: We are loading the NDC FOAL files to ASO via the contingency route (20th files with yesterday's balance) and will take 75-90 mins for overall completion (around 9.45 AM). 
RDC allocations : RDC contingency files (20th files with yesterday's balance) are already loaded into the ASO, BAU files we are awaiting from Relex (10:30 AM), post which we will load it to ASO.
Foods Final orders to suppliers - we are yet to receive the source file from Relex, The ETA 12 PM, we have updated OFP banner to use 28DOP for suppliers incase required
06:25 - There are two parts to this issue: SFTP issue is resolved (files are sent from FOAL to RELEX) and Relex will process the files(which are currently in progress : the workflow is Relex-&gt;FOAL-&gt;ASO-&gt;WMS End-users)
Master data files are consumed into Relex and batch process is in progress. ETA for critical flows will be shared (around 8:00hrs) once all the files are ingested into Relex.
RDC Contingency allocation is loaded at 3:27hrs for picking and no operations impact.
M&amp;S Integration team has fixed the SFTP file transfer issue, Initial root cause is a rotation of service principles under CHG2142 (not specific to Foods) and this required an update across all the foods specific interfaces to resolve the issue and are monitoring all the Foods external transfers.
02:50 All the input files have been manually sent to Relex. The Relex batch has been started to process the file by 2:38, however the ETA for the completion of critical batches can be ascertained once Relex have consumed all the files. Next update: 04:30, 22/08
1:39: The SFTP files transfer are failing from 22:00,  from FOAL to  Relex impacting the overnight batch as the input files are not sent to Relex. 
Team attempted to manually transfer the file from source path to destination path which seems to be working, hence team is InProgress of transferring all 20 interface files to Relex manually to resume the Relex batch as a workaround. Cloud integration team will continue to investigate the issue and fix the issue once the workaround is complete. Next Update: 22/08/2025 03:30
00:40:  The Foods Relex batch is on hold as we are observing an issue in sending the input files to Relex from FOAL. Further investigations underway.</t>
    </r>
  </si>
  <si>
    <t>The Foods portfolio Service Principal was successfully renewed in Azure on 21/08, but the updated credentials failed to deploy to the SFTP VM due to a Jenkins job failure. The root cause was incorrect encrypted credentials in Jenkins, where the password was incorrectly appended with the user ID—an existing configuration. This caused authentication failure with Azure Container Registry (ACR), preventing the Docker container on the SFTP VM from fetching the required image.​
​</t>
  </si>
  <si>
    <t>INC273</t>
  </si>
  <si>
    <t>SSI WCS (Warehouse Control System) automation system unavailable at Castle Donington DC.</t>
  </si>
  <si>
    <r>
      <rPr>
        <b/>
        <sz val="10"/>
        <color rgb="FF000000"/>
        <rFont val="Aptos Narrow"/>
        <family val="2"/>
        <scheme val="minor"/>
      </rPr>
      <t>Finance Impact:</t>
    </r>
    <r>
      <rPr>
        <sz val="10"/>
        <color rgb="FF000000"/>
        <rFont val="Aptos Narrow"/>
        <family val="2"/>
        <scheme val="minor"/>
      </rPr>
      <t xml:space="preserve"> £10,800
The automation failure has significantly impacted operational continuity at the Castle Donington site. The surge in pending events indicates a backlog in system processing, which could lead to delays in order fulfillment, inventory inaccuracies, and potential customer dissatisfaction. The global stop and user logout directive have effectively paused all warehouse activities, risking SLA breaches and financial implications. Immediate resolution is critical to restore normal operations and mitigate downstream effects across the supply chain.</t>
    </r>
  </si>
  <si>
    <r>
      <rPr>
        <sz val="10"/>
        <color rgb="FF000000"/>
        <rFont val="Arial"/>
        <family val="2"/>
      </rPr>
      <t xml:space="preserve">29/08 - As the database is stable after the tactical fix of log purging in place along with extended monitoring. The corrective actions review is planned at 12:00 today to narrow down the root cause and plan the permanent fix to avoid issue recurrence. 
28/08 Status remains as being monitored until Oracle’s reboot database nodes recommendations complete. Currently challenge that this requires 90 min downtime however site only has an agreed outage window of 60mins. Dicsussion ongoing.  
27/08 
15:00  The action plan to implement Oracle recommendations (reboot the both the database nodes) has been finalized.  However, considering the overall plan including the WMS app and SSI services stop and start, we need a total 90 minutes downtime and the outage with the site has been agreed for only 60 minutes.  Infra team will relook to optimize the action plan to see if we can get both the database nodes rebooted within an hour.  Incident is resolved for now and further actions will be tracked via PIR. 
13:00: CD Service Lead going through the plan for tomorrow's planned activity with CD IT, Linux and Oracle DB teams.  This to implement the recommendations from Oracle vendor between 6:00 AM and 7:00 tomorrow as we have agreed an outage with the site.  MIM team will co-ordinate this activity on a MIM bridge. 
27/08: 11:00 A catch up call has been scheduled to device the plan and align the resource for the acitivity. Next update: 13:00, 27/08/2025
26/08 : 15:30 :No further issues have been reported from the site regarding this incident. A planned restart of CD SSI WCS has been scheduled on   Thursday, 28th August, between 06:00–07:00 based on Oracle guidelines. The issue is caused as grid user (the Oracle cluster will be managed by this user) has reached its open file limit  in WCS SSI DB. Considering  the monitoring and alerting is  yet to be recovered, team were unable to identify and recover the issue on time. A temporary automated solution for file truncation is in place. </t>
    </r>
    <r>
      <rPr>
        <b/>
        <sz val="10"/>
        <color rgb="FF000000"/>
        <rFont val="Arial"/>
        <family val="2"/>
      </rPr>
      <t xml:space="preserve">Next Update: 27/08/2025 12 PM
</t>
    </r>
    <r>
      <rPr>
        <sz val="10"/>
        <color rgb="FF000000"/>
        <rFont val="Arial"/>
        <family val="2"/>
      </rPr>
      <t xml:space="preserve">12:00 - No further issues reported from site with regards to pending events over the long weekend. Oracle have provided below steps to follow by Unix and Database team:
1) Immediate Action – Increase File Descriptor Limits:
Request the Unix team to raise the file descriptor limit for both Grid and Oracle users.
This adjustment is expected to mitigate recurrence of the issue under similar workload conditions.
2) Contingency Plan – Server Restart:
If the issue persists post-limit adjustment, a controlled, sequential restart of affected servers may be required to fully resolve residual system constraints.
We are coordinating closely with the Unix and Database teams to implement these steps and will continue to monitor the environment closely. </t>
    </r>
    <r>
      <rPr>
        <b/>
        <sz val="10"/>
        <color rgb="FF000000"/>
        <rFont val="Arial"/>
        <family val="2"/>
      </rPr>
      <t xml:space="preserve">Next update at 26/08 17:00
</t>
    </r>
    <r>
      <rPr>
        <sz val="10"/>
        <color rgb="FF000000"/>
        <rFont val="Arial"/>
        <family val="2"/>
      </rPr>
      <t xml:space="preserve">
23/08 - 17:00 - Following a database cluster restart, the Oracle Notification Service (ONS) remains unavailable on one node. While WCS functionality is unaffected, this may lead to increased file system usage. A case has been raised with Oracle for permanent resolution. To mitigate future risk, automated scripts will be implemented to monitor file system utilization and proactively manage log files. Database health is currently stable post log cleanup and restart, with extended monitoring planned over the long weekend. Next Update on Tuesday, 26/08.
22/08 - 17:00 - Services have remained stable and no further issues have been reported from the site. Below is the overview from the 16:30 -  
Oracle Engagement &amp; ONS Fix - A service request has been raised with Oracle. Although the issue is not live-impacting, the Infra team will engage the Technical Account Manager at Oracle to escalate this as a critical case and ensure appropriate support from Oracle to resolve the ONS issue.
File System Health Checks &amp; Mitigations
- A purge script has been configured to truncate Oracle Notification Service logs every 30 minutes, with appropriate backup. This ensures log file growth is controlled and file system utilization remains within threshold.
- Email alerts have been configured to provide utilisation and database status updates every hour. Alerts are directed to the Linux and Database teams, who provide 24x7 support with defined escalation contacts.
- Based on the call, with the purge script in place, the issue is not expected to reoccur.
Resourcing &amp; Monitoring
- The contact repository will be updated with engineer shift details, escalation contacts, and MOD availability for the weekend.
-A closed channel has been spun up with the infra, WMS and MIM teams to monitor the database health status over the weekend.
 - The incident will remain under overnight monitoring and is targeted for resolution by end of day tomorrow. </t>
    </r>
    <r>
      <rPr>
        <b/>
        <sz val="10"/>
        <color rgb="FF000000"/>
        <rFont val="Arial"/>
        <family val="2"/>
      </rPr>
      <t xml:space="preserve">Next update: 17:00, 23/08
</t>
    </r>
    <r>
      <rPr>
        <sz val="10"/>
        <color rgb="FF000000"/>
        <rFont val="Arial"/>
        <family val="2"/>
      </rPr>
      <t xml:space="preserve">
14:45 - Following the database cluster restart, an issue was identified with ONS (oracle notification service) in the database which is currently unavailable on one of the database nodes. This should not cause any functional impact to the WCS application, however, this service being non functional on one node will result in the file system space utilisation. Therefore, a case is being raised with Oracle to fix the ONS issue permanently. In addition, automated scripts will be induced to monitor the file system utilisation and truncate the log files before it breaches the threshold. However, as the database health is now normal following the log file deletion &amp; restart, the site has been advised to resume operations since 14:40. We will have a catch up call later in the afternoon to plan the database monitoring over the long weekend. Extensive monitoring will continue. Next update at 18:00
13:56 - Truncation of log files across the database servers is now completed. Final validation checks on the database health is underway. We are now able to login to WCS console and SSI has confirmed that the pending events have now processed as expected. There were issues observed with one of the database nodes , therefore, we are currently performing a database cluster restart before handing over to the site to ensure stability. Next update at 15:00
13:21 :It was confirmed that the file system space within the WCS database had reached its 100% utilisation. Therefore, a decision was taken to empty the historic export file from 2020 from the primary database server followed by emptying the some heavily loaded log files from the primary database servers - we have observed the file system space is at its 61% utilisation. Deletion ongoing for the log files on the secondary database server/ Next update at 14:00
12:47:  SSI Schaefer joined the MIM bridge and confirmed an issue with WCS database servers. M&amp;S Database &amp; Linux team are validating the database and the database servers. Next update at 13:15.
12:23 - The Castle Donington site is currently experiencing a critical disruption in warehouse operations due to a halt in automation systems, specifically affecting SCS (Supply Chain Systems), BCS (Business Control Systems), and related components. This has led to a spike in pending events, reaching approximately 50k. In response, a global stop was evoked, and all users of the Warehouse Management System (WMS) and Warehouse Control System (WCS) were instructed to log out to prevent further system strain and data inconsistency. Critical case raised with SSI and a MIM bridge is opened to triage further with SSI.</t>
    </r>
  </si>
  <si>
    <t xml:space="preserve">SSI </t>
  </si>
  <si>
    <t>The outage of the WCS database services was caused by the unavailability of Oracle Notification Services (ONS) on both primary and secondary database nodes. This was due to the grid user exceeding the maximum allowed number of open processes, a known issue on these legacy servers which have not been patched since the handover from SSI Schaefer. The breach led to the primary node going down and a file system threshold breach on the secondary node, resulting in complete database inaccessibility.​</t>
  </si>
  <si>
    <t>INC275</t>
  </si>
  <si>
    <t>False Order Delay Email Triggered to 11k+ Customers</t>
  </si>
  <si>
    <r>
      <rPr>
        <b/>
        <sz val="10"/>
        <color rgb="FF000000"/>
        <rFont val="Aptos Narrow"/>
        <family val="2"/>
        <scheme val="minor"/>
      </rPr>
      <t xml:space="preserve">Finance Impact: </t>
    </r>
    <r>
      <rPr>
        <sz val="10"/>
        <color rgb="FF000000"/>
        <rFont val="Aptos Narrow"/>
        <family val="2"/>
        <scheme val="minor"/>
      </rPr>
      <t>No finance impact 
Approx 11000 customers have received an email that their orders would be delayed leading to customer dissatisfaction. Also saw an issue with the order flow on OMS queue manager, potentially delaying the customer orders placed on the website.</t>
    </r>
  </si>
  <si>
    <t>16:31 - From 3:00 PM onwards, the order messages that had piled up in the OMS queue managers began to clear. By 15:50, all outstanding messages had been successfully processed, and service was fully restored. As a follow-up, the OMS team will conduct a review to identify the root cause of the underlying issue that led to the hung sessions and evaluate measures to prevent a recurrence. PIR will be scheduled to deep dive the RCA and establish preventive actions if any.
14:40 - Following the ongoing investigation, teams have identified that long-running queries on the OMS database are causing the pile-ups observed on the queue managers. Database Administrators and Cloud Operations Engineers have joined the bridge and are actively working to terminate these queries to restore normal service. In addition to the previously reported impact on delayed customer email communications, the issue has now extended to order flow queue managers on OMS, reulting in delays in processing customer orders placed on the website. Both issues have been traced back to the same root cause—long-running queries on the OMS database. Once these queries are successfully terminated, teams will verify that the orders held in the queue managers are being processed in a timely manner.
11:30 - WMS (Warehouse Management System) and Middleware have confirmed that these orders were sent out from the respective systems by 3 AM, however the orders were processed at OMS (Order Management System) at 06:51 AM. Teams are still investigating on the cause of the delay and will keep us posted
10:50 - WMS team checked some sample orders and could see that they processed at 02:50 and even more
10:09 - Aadil had already checked with CD and confirmed that the orders were dispatched at 3 in the morning , Sterling received all orders between 8-9 and messages seem to have delayed. (Flow EDC - WMS - Mule - OMS)</t>
  </si>
  <si>
    <t>CHG2431</t>
  </si>
  <si>
    <t>teams have identified that long-running queries on the OMS database are causing the pile-ups observed on the queue managers. As a follow-up, the OMS team will conduct a review to identify the root cause of the underlying issue that led to the hung sessions and evaluate measures to prevent a recurrence. PIR will be scheduled to deep dive the RCA and establish preventive actions if any.</t>
  </si>
  <si>
    <t>INC276</t>
  </si>
  <si>
    <t>Out-of-Stock Error Displayed During Checkout on Website and Apps</t>
  </si>
  <si>
    <t xml:space="preserve">Customers are able to add the products to the basket, however they are unable to check out /place orders on the website and apps due to the OOS Scenario resulting in potential loss of revenue and poor customer experience. </t>
  </si>
  <si>
    <t>13:20 - The OMS team manually triggered the job at around 08:15 AM to expedite processing, which was completed by 10:50, restoring service. Out-of-stock volumes have remained stable over the past few hours, hence marking as resolved.
11:25 - OMS (Order Management System) Team identified a delay in processing inventory this morning. OMS team have manually triggered the job around 08:15am to ensure the inventory is processed as soon as possible. The processing seems to have completed approx. at 10:50 and service appears to be restored. Teams will continue to monitor and investigate the cause of the issue.
10:50 Number of errors seem to have dropped now and OMS team also said that the inventory file got processed. Team is still checking on the root cause[ Impact is specific to products for Donington )
10:42 There is a delay in processing inventory and OMS is investigating on the issue</t>
  </si>
  <si>
    <t>OMS (Order Management System) Team identified a delay in processing inventory this morning. Root cause yet to be determined</t>
  </si>
  <si>
    <t>INC278</t>
  </si>
  <si>
    <t>Performance issue observed on HHTS while performing dispatch operations in Castle Donnington DC</t>
  </si>
  <si>
    <t xml:space="preserve">10-15 Second delay on HHTs (hand held terminals) observed while scanning each  parcel on each stage of the SYW (Shop your Way) Consolidation resulting a capability loss of  9.3K singles until now since 25/08.
 </t>
  </si>
  <si>
    <r>
      <t xml:space="preserve">10:30: The system performance remained stable throughout the night and during the busy C&amp;C ( Click &amp; Collect) closedown period with no further issues. Hence the incident is being marked as resolved.
15:30 :  Indexing was performed on the WMS database to optimise the performance after securing an outage between 14:00 and 14:30. The system health checks were completed successfully  and Site has been asked to resume the operations by  15:15. WMS &amp; Oracle team have confirmed that performance improvements are observed after implementing the indexing.  Will continue to monitor throughout the evening. </t>
    </r>
    <r>
      <rPr>
        <b/>
        <sz val="10"/>
        <color rgb="FF000000"/>
        <rFont val="Aptos Narrow"/>
        <family val="2"/>
        <scheme val="minor"/>
      </rPr>
      <t xml:space="preserve">Next Update: 27/08/2025 12 PM 
</t>
    </r>
    <r>
      <rPr>
        <sz val="10"/>
        <color rgb="FF000000"/>
        <rFont val="Aptos Narrow"/>
        <family val="2"/>
        <scheme val="minor"/>
      </rPr>
      <t xml:space="preserve">12:47: Murali was able to get the window between 2 to 2:30 today to work on the indexing activity. MIM call to reconvene at 13:50 today with all the required teams. </t>
    </r>
    <r>
      <rPr>
        <b/>
        <sz val="10"/>
        <color rgb="FF000000"/>
        <rFont val="Aptos Narrow"/>
        <family val="2"/>
        <scheme val="minor"/>
      </rPr>
      <t xml:space="preserve">Next update at 26/08 16:00
</t>
    </r>
    <r>
      <rPr>
        <sz val="10"/>
        <color rgb="FF000000"/>
        <rFont val="Aptos Narrow"/>
        <family val="2"/>
        <scheme val="minor"/>
      </rPr>
      <t>12:00: MIM call to reconvene at 12:30 today with all the required teams to further work on the steps for indexing. 
10:55 Engineering Manager has requested details to be reviewed on the implementation plan and team is getting that actioned. Next update : 11:30
10:03 Approvals secured and team is reviewing the implementation plan with technical teams . Next update : 26/08 11:00
09:30 . Performance issues identified with one of the application functionality due to a long running SQL query. A recommendation was given by DB team to have indexing done and team is reviewing with Engineering Manager (Douglas).
09:10: The issue was observed on 25/08, however the impact was minimnal due to the lower volume planned during long weekend. If the issue continues to persist, the incident will soon escalate to P2 or P1. We have joined on the MIM1 triaging this incident with WMS and DB team together for recovery</t>
    </r>
  </si>
  <si>
    <t>Murali Srinivasan/Mark Davies</t>
  </si>
  <si>
    <t xml:space="preserve">Performance issues identified with one of the application functionality due to a long running SQL query. </t>
  </si>
  <si>
    <t>INC281</t>
  </si>
  <si>
    <t>FH&amp;B SOH (Stock on Hand) data mismatch between CSSM systems and SAP StockHub (Reporting system)</t>
  </si>
  <si>
    <t>Stock positions are incorrect in StockHub, however there is no impact to the D&amp;F as the data from SAP is not used</t>
  </si>
  <si>
    <r>
      <rPr>
        <sz val="10"/>
        <color rgb="FF000000"/>
        <rFont val="Aptos Narrow"/>
        <family val="2"/>
        <scheme val="minor"/>
      </rPr>
      <t xml:space="preserve">29/08 : The BAU purge job was released and the deletion was completed successfully by 18:00 on 28/08. Business validations have completed that the issue is resolved.
28/08 10:30 - The team released the BAU purging jobs yesterday (27th Aug) and is currently monitoring them. The one off deletion will be carried out today in Stock hub system and team will verify with other system after tonight's run. </t>
    </r>
    <r>
      <rPr>
        <b/>
        <sz val="10"/>
        <color rgb="FF000000"/>
        <rFont val="Aptos Narrow"/>
        <family val="2"/>
        <scheme val="minor"/>
      </rPr>
      <t xml:space="preserve">Next update at 17:00, 29th Aug.
</t>
    </r>
    <r>
      <rPr>
        <sz val="10"/>
        <color rgb="FF000000"/>
        <rFont val="Aptos Narrow"/>
        <family val="2"/>
        <scheme val="minor"/>
      </rPr>
      <t xml:space="preserve">27/08: 
10:53 - SAP teams validated that the absence of purge cycles is the primary driver of discrepancies in Stock Hub. A one-off cutover purge is required to normalize current data, followed by enabling BAU purge jobs in Control-M going forward. D&amp;F: According to Nanda, D&amp;F is not impacted at present, potential risk only when the interface goes live (Yet to validate)
There's a query being built in the Dev and the SAP team needs at least 2 days to build that query considering the complexity of the task, understanding the data mismatch and so on. Then they will have to do the testing and execution plan. Pawan is working on the Commnication and will share it shortly. MIM bridge is adjourned until further update. </t>
    </r>
    <r>
      <rPr>
        <b/>
        <sz val="10"/>
        <color rgb="FF000000"/>
        <rFont val="Aptos Narrow"/>
        <family val="2"/>
        <scheme val="minor"/>
      </rPr>
      <t xml:space="preserve">Next Update: 29/08 17:00
</t>
    </r>
    <r>
      <rPr>
        <sz val="10"/>
        <color rgb="FF000000"/>
        <rFont val="Aptos Narrow"/>
        <family val="2"/>
        <scheme val="minor"/>
      </rPr>
      <t>26/08 -
21:40 - The MIM team has just concluded the MIM bridge and SAP teams are investigating, if the data mismatch has been present since the day of the incident or if it originated earlier. The exact start date of the issue is still unclear and under review. If it is confirmed to have begun on the day of the incident, it will be addressed as part of the recovery tasks. Otherwise, the incident priority will be downgraded to P3, as there is no end-user impact. 
For the time being, the incident stands cancelled until further update from the SAP teams
21:00 - SAP teams are currently investigating the issue internally, with next steps to be agreed upon in consultation with the D&amp;F team.</t>
    </r>
  </si>
  <si>
    <t>SAP teams validated that the absence of purge cycles is the primary driver of discrepancies in Stock Hub.</t>
  </si>
  <si>
    <t>INC285</t>
  </si>
  <si>
    <t xml:space="preserve">Middleware ACE node 3 is currently unresponsive </t>
  </si>
  <si>
    <t>Foods, Stores</t>
  </si>
  <si>
    <r>
      <rPr>
        <b/>
        <sz val="10"/>
        <color rgb="FF000000"/>
        <rFont val="Aptos Narrow"/>
        <family val="2"/>
        <scheme val="minor"/>
      </rPr>
      <t xml:space="preserve">Finance Impact: </t>
    </r>
    <r>
      <rPr>
        <sz val="10"/>
        <color rgb="FF000000"/>
        <rFont val="Aptos Narrow"/>
        <family val="2"/>
        <scheme val="minor"/>
      </rPr>
      <t>No finance impact 
FITS : Supplier ASN (Advanced Shipment Notice) from FITS to GIST is impacted due to which GIST will not be able to receipt the stock which may cause rejection across depots.
ASO: GR (goods receipt) messages will not be received into ASO intermittently, so GIST will not receive the allocation instruction back from ASO. As a mitigation we have requested GIST to go on DWS backup mode.
CSSM: Potential impact to deliveries and sales messages for few stores to CSSM resulting in stock inaccuracy. The impact is being quantified across the stores.
Relex allocation: Relex batch is updated not to run tonight and moved to Contingency plan for tonight.
OMS: Approx. 300 online orders taken in stores payment has not been received and will auto-cancel due to payment not reaching OMS. Orders cancel 8 hours after they are placed.
Finance Sales:- The sales value, as well as brands/dropship sales and payments, will have potential impacts in SAP ECC.
Stock:- Adjustments to stock may be necessary due to the missing sales quantities.
EDW:- The Day-1 sales value will likely be underestimated</t>
    </r>
  </si>
  <si>
    <r>
      <rPr>
        <sz val="10"/>
        <color rgb="FF000000"/>
        <rFont val="Aptos Narrow"/>
        <family val="2"/>
        <scheme val="minor"/>
      </rPr>
      <t xml:space="preserve">30/08:
11:50 - The overnight foods flows and CSSM stock position have remained stable. All pending messages have been processed. The Linux cluster issue and reintroducion of Node 3 will be planned under the Problem management process.
09:00 - Overnight all the pending messages have been processed to the downstream systems and NDC allocations and supplier order flows completed with BAU stock file.
29/08
17:20 - CSSM stock position - After multiple layers of reconciliations, it was concluded that there is a stock discrepancy of 2913 UPCs vs 350 store combinations in CSSM. After validating with business, it has been confirmed to be of minimal impact and therefore, no tech actions are required. Stores will be advised to perform gap scanning (if required) to correct the stock position.
Foods Ordering &amp; Allocation - Business has confirmed that tonight batch will use the BAU stock file to generate the supplier orders and NDC allocation. Overnight monitoring will be in place.
GIST Deliveries - Throughout the day, no manual intervention was required for NDC and RDC ASNs (Advanced shipment note) to GIST and therefore, it is believed that the flow is back to BAU. However, if GIST highlights an issue, the manual retrigger will follow the BAU route.
Pending messages in Middleware - Majority of the messages have been processed from Middleware to the relevant downstream systems, there is ~9k messages pending across SAP and STEP applications. Action plan being made to process these messages to the downstream systems overnight. 
Hypercare &amp; Monitoring - Manual Monitoring is in place to ensure stability across the middleware layer.
RCA &amp; Permanent fix - Work is in progress to fix the Linux cluster issue after which the ACE BROKER NODE3 will be restored by rebuilding the queue managers and recreating the subscription from the backup.
A call will be scheduled on Monday to understand the state of play in terms of RCA and permanent fix.
Note: If no further issues are observed overnight,, this incident will be resolved by EOD tomorrow (provided critical batches complete successfully and all pending messages are processed), the RCA and permanent fix will be addressed through Problem management. </t>
    </r>
    <r>
      <rPr>
        <b/>
        <sz val="10"/>
        <color rgb="FF000000"/>
        <rFont val="Aptos Narrow"/>
        <family val="2"/>
        <scheme val="minor"/>
      </rPr>
      <t xml:space="preserve">Next update at 16:00. 30/08
</t>
    </r>
    <r>
      <rPr>
        <sz val="10"/>
        <color rgb="FF000000"/>
        <rFont val="Aptos Narrow"/>
        <family val="2"/>
        <scheme val="minor"/>
      </rPr>
      <t xml:space="preserve">13:30 - After performing further reconciliation in CSSM, CSSM product team has confirmed that there is no impact on CSSM stock file other than the 2913 Food store/Upc combinations. Considering the small number of upc impacted, this can be ignored after confirmation with Business - business confirmation awaited.
For ASNs retrigger for supplier orders &amp; NDC deliveries to GIST - Manual retrigger continues as an when requested by GIST. If there are no further requests from GIST until EOD, it is anticipated that the flow is back to BAU. Retriggering pending messages from middleware layer to downstream systems - Majority of the messages have been retriggered. We will schedule a call by EOD to understand the state of play before stepping into the weekend. Foods ordering and allocations will follow the BAU route to generate supplier orders and NDC allocations. Next update : 18:00
10:47 - Middleware Integration team will continue to work with PIM and SAP Sales team to trigger the pending messages. Most of the missing 3k sales messages were related to 2 new store config issues in CSSM and rest were valid exceptions. This will be handled as BAU. </t>
    </r>
    <r>
      <rPr>
        <b/>
        <sz val="10"/>
        <color rgb="FF000000"/>
        <rFont val="Aptos Narrow"/>
        <family val="2"/>
        <scheme val="minor"/>
      </rPr>
      <t xml:space="preserve">Next update at 14:00
</t>
    </r>
    <r>
      <rPr>
        <sz val="10"/>
        <color rgb="FF000000"/>
        <rFont val="Aptos Narrow"/>
        <family val="2"/>
        <scheme val="minor"/>
      </rPr>
      <t xml:space="preserve">06:00 - Based on logs, vendor IBM recommended to create the 2 subscriptions manually as we are unable to recover 2 subscriptions.
Sev1 case raised with IBM vendor to recover the impacted node, additional logs have been uploaded to the case as requested by IBM for further investigation.
- As agreed with Business, using contingency the overnight critical food critical flows 
NDC allocations completed by MK - 03:39 and Bradford - 03:53, while FFO at 05:23.Next update : 29/08 10:00 AM
04:00 - Integration team have processed all the critical interface messages with interface ID, have been processed and there are around 11k messages which requires further investigation in the morning as they don't have any interface ID.
01:50 - Sev1 case raised with IBM vendor to recover the impacted node, additional logs have been uploaded to the case as requested by IBM for further investigation.
- Integration team are currently working on processing the remainder of the backlog messages from the impacted node (approx. 73K transactions) related to other interfaces. Team have processed 44.5K currently and are working towards processing the backlog messages
28/08
23:55 - POS Sales data recovery - we have retrieved approx. 146k sales messages from the middleware layer and the same have been processed to downstream systems
- Online orders - 188 out of 242 orders placed on the website were cancelled as the payment confirmation messages were not received in OMS before the 8 hours cut off from the time the order was placed
- Sev1 case raised with IBM vendor to recover the impacted node, additional logs have been uploaded to the case as requested by IBM for further investigation.
- Integration team are currently working on processing the remainder of the backlog messages from the impacted node (approx. 73K transactions) related to other interfaces
22:00 - Further reconciliation were performed between CSSM and WMS for Foods &amp; FH&amp;B deliveries - majority of the ASNs have reached CSSM with no impact to Foods and FH&amp;B deliveries. 
- In terms of POS Sales data recovery - we have retrieved approx. 146k messages from the middleware layer, a group of 20 messages were replayed from middleware to CSSM and these messages have been successfully received in CSSM. Middleware team is currently processing remaining messages to CSSM. Once the messages are received in CSSM, a further recon will be performed between CSSM and POS to conclude the final impact to store stock position. 
- Online orders - 300 orders might get auto cancelled if there is a delay in receiving order payment messages to Order Management System.
- Foods ordering and allocation will follow the contingency route with overnight validation in place. The Relex stock job and the negative job has been held in CSSM. 
- Work is being done with IBM vendor to try and identify an approach to process all the impacted messages from the middleware layer.
20:30 - Reconciliation was performed between POS and CSSM, we have confirmed 13% of sales are missing in CSSM when compared with the overall volume. Note: 286k sales transactions are missing in CSSM impacting the store stock position
A decision has been taken to invoke contingency (using previous days 28 day order plan for supplier orders and previous day's store order proposal file for NDC allocations) - No impact to Foods critical flows.
Further reconciliation being performed between CSSM and Foods &amp; FH&amp;B deliveries - majority of the ASNs have reached CSSM, detailed impact being assessed.
Online orders - 300 orders might get auto cancelled if there is a delay in receiving order payment messages to Order Management System.
Recovery of data - The backup file system has been restored, however, further discussions are underway to build the MQ to recover and retrigger the data to downstream systems.
18:40 - Due to the messages between 09:00 and 13:00 being wiped out from the ACE broker node 3, we are now planning contingency for stock inaccuracy, stock reporting, Relex ordering &amp; allocations, GIST deliveries. Note: Manual workaround in place to retrigger any ASNs called out by GIST.
A reconciliation is being performed between POS Beanstore &amp; CSSM, C&amp;H and Foods deliveries to identify the scale of impact on the store stock position. Discussions ongoing with business to fall back to contingency plan for ordering &amp; allocations. 
There is no option to recover the data from the backup file system, as the backup was taken before the repair. Also, due to the technical complexity, the option is still being discussed and we might not be able to recover on time. Next update at 20:00
18:00 - The live messages continue to process as expected through the other 5 middleware nodes (excluding the problematic node) and no further issues were observed.
We have observed an issue with the middleware subscriptions being wiped out from the queue manager, which means the backlog messages have been wiped out from the queue of ACE node3  and have not been sent to the downstream systems.
This will cause a wider impact to the ASNs deliveries, stock inaccuracy impacting reporting and potential impact to Relex allocations.
GIST ASNs are being retriggered from FITS to mitigate impact, there is currently no option available to push the POS sales data between 09:00 and 13:00 from ACE node 3 to CSSM.
Options being explored to restore the data from the backup and process it to the downstream systems. Next update at 20:00
17:00 - The live messages continue to process as expected through the other 5 middleware nodes (excluding the problematic node) and no further issues were observed.
With the help of Redhat engineers, the file system were repaired successfully following which the file system was successfully mounted and the ACE node 3 was brough up in an isolated manner. The backlog messages processing have resumed since 16:31. ETA of completion is 18:00. Once the backlog messages are processed, store counts will be unblocked. Discussions around root cause behind the disk corruption is yet to be understood from Redhat. As a proactive measure, Linux team needs to update on auto log rotation within the file systems across all other 5 nodes to avoid issue recurrence. The problematic node will remain isolated until it is proved to be healthy. </t>
    </r>
    <r>
      <rPr>
        <b/>
        <sz val="10"/>
        <color rgb="FF000000"/>
        <rFont val="Aptos Narrow"/>
        <family val="2"/>
        <scheme val="minor"/>
      </rPr>
      <t xml:space="preserve">Next update at 18:00
</t>
    </r>
    <r>
      <rPr>
        <sz val="10"/>
        <color rgb="FF000000"/>
        <rFont val="Aptos Narrow"/>
        <family val="2"/>
        <scheme val="minor"/>
      </rPr>
      <t xml:space="preserve">15:30 - The live messages continue to process as expected through the other 5 middleware nodes (excluding the problematic node).To process the backlog messages stuck in ACE node 3, a reboot of the cluster services was attempted on both the servers, however, this was not successful. Thereafter, the cluster services were attempted to be brought up on one of the server as a standalone, this was not successful either. A critical case was raised with Redhat and it is confirmed that there is a disk corruption issue which has resulted in the file system mounting to be failing across all the servers. Therefore, Redhat has suggested to perform a repair of the disk to treat the issue.  Decision is being taken to validate with the business colleagues to proceed with the repair as there is a potential chance of data loss on the queue managers ((~14k messages stuck in ACE node 3) . We are trying to run the Redhat recommended commands on a test server to check the data loss intensity before we run on the actual production servers. Next update at 17:30.
13:58 - Technical teams have now isolated the problematic middleware component which has now resumed the flow of live GRs, ASN messages &amp; POS sales to the relevant downstream systems. GIST has been advised to put the depots back on live allocation since 13:40. The impacted is now isolated to the backlog of messages currently stuck in the problematic node and technical actions are being performed to reprocess the impacted messages. Next update at 15:30.
12:19 - A MIM bridge is being opened to investigate the issue with Integration &amp; Middleware admin team along with Foods team. The quick solution is to isolate the problematic node to restore services tactically </t>
    </r>
  </si>
  <si>
    <t>Jayachandran Krishnan</t>
  </si>
  <si>
    <t>The issue was caused by disk corruption in the queue manager on 28/08, which led to middleware object damage and deletion of subscriptions</t>
  </si>
  <si>
    <t>INC286</t>
  </si>
  <si>
    <t>Online, Supply Chain, FH&amp;B, Finance</t>
  </si>
  <si>
    <r>
      <t xml:space="preserve">FH&amp;B Supply Chain Impact
Order flow between Warehouse Management System (WMS) and Order Management System (OMS):
Ecom order fulfilment process to be affected due to the communication disruption between systems due to scheduled Control M jobs.
              Castle Donington proposition moved +24 hours for C&amp;C and NDD at 11:00 am
</t>
    </r>
    <r>
      <rPr>
        <b/>
        <sz val="10"/>
        <color rgb="FF000000"/>
        <rFont val="Aptos Narrow"/>
        <family val="2"/>
        <scheme val="minor"/>
      </rPr>
      <t>Castle Donington</t>
    </r>
    <r>
      <rPr>
        <sz val="10"/>
        <color rgb="FF000000"/>
        <rFont val="Aptos Narrow"/>
        <family val="2"/>
        <scheme val="minor"/>
      </rPr>
      <t xml:space="preserve"> - No finance impact
WMS – WCS (Warehouse Control System) communication
Potential Stock integrity issue between WMS and WCS due to broken communication.
Sorted Calls
Impact in Consignment generation as quote calls are affected
Reports
Latest Shipping manifest and operations report will not be available
M&amp;S DotCom:
Ecom order fulfilment process to be affected due to the communication disruption between systems due to scheduled Control M jobs.
Inaccurate store stock positions for all ISF stores
Delay in getting product updates from PIM to WCS
Foods Impact:
Delay in sending Foods Purchase Orders / Purchase Order Amendments to Supplier - OFP Banner is added for supplier notification.
ASN Business validations will be based on purchase orders amendments received prior to the issue start time.
Delay in sending Self-bill invoices to Foods suppliers
No impact to Foods WMS 4 wall operations at Bradford and Milton Keynes.  However, downstream data flows (Customs Excise files, Export/SIGHT, International orders to JDA/IFOS, and WLM files) will be delayed during the issue and will resume/flow post ControlM fix.
             ASNs to GIST/CSSM mitigated with WMS BY Schedule since 11:05 am.
</t>
    </r>
    <r>
      <rPr>
        <b/>
        <sz val="10"/>
        <color rgb="FF000000"/>
        <rFont val="Aptos Narrow"/>
        <family val="2"/>
        <scheme val="minor"/>
      </rPr>
      <t xml:space="preserve">Finance impact: </t>
    </r>
    <r>
      <rPr>
        <sz val="10"/>
        <color rgb="FF000000"/>
        <rFont val="Aptos Narrow"/>
        <family val="2"/>
        <scheme val="minor"/>
      </rPr>
      <t>No finance impact
Finance:
 Outbound ASNs, Deliveries, Shipments will not be sent to down streams
Pricing details for UK will not be triggered to down streams
OFP Purchase order amendments is not possible 
Day -1 delay in EDW 
Invoices and payments processing will have delay to suppliers
Brands:
If business approves any product, those will not be reached to PIM
FH&amp;B Commercial Trading:
Landed Cost Price, Create &amp; Update Article, Adopted Colourway &amp; Seasonality changes made in PLM  for the impacted articles will not be reflecting as expected in downstream applications such as C&amp;H Domain Services &amp; Range Planner applications.</t>
    </r>
  </si>
  <si>
    <r>
      <t xml:space="preserve">31/08
14:00 - Control M refresh completed successfully this morning, all portfolios have remained stable. Similar monitoring will continue over the weekend to ensure stability on Control M refresh before we plan the permanent fix though a planned change. A catch up call has been scheduled at 12:00 tomorrow to plan the permanent fix after which this incident will be resolved. Next update at 14:00, 01/09.
07:30 - Control M refresh completed successfully and health checks are Green. Next update at 14:00, 31/08
30/08
07:30 - Control M refresh completed successfully and health checks are Green. Similar monitoring will continue over the weekend to monitor the Control M refreshes until Monday. </t>
    </r>
    <r>
      <rPr>
        <b/>
        <sz val="10"/>
        <color rgb="FF000000"/>
        <rFont val="Aptos Narrow"/>
        <family val="2"/>
        <scheme val="minor"/>
      </rPr>
      <t xml:space="preserve"> Next update at 14:00, 31/08 unless there is a significant change in the status.
</t>
    </r>
    <r>
      <rPr>
        <sz val="10"/>
        <color rgb="FF000000"/>
        <rFont val="Aptos Narrow"/>
        <family val="2"/>
        <scheme val="minor"/>
      </rPr>
      <t>29/08
17:30 - Update: Donington - As of 15:15 Donington order fulfilment (OF) messages have now processed for all NDD orders and shouldn’t cause any CFR impact
All 18k OF messages have now fully processed. Next update at 14:00, 30/08
16:20 - Donington - All must-go orders have received OF messages (no CFR risk). Around 7k orders are pending OF messages, expected to be processed by 17:00. (this count should have gone down by now). The incident will be set to "Being Monitored" once these 7k have processed.
 Weekend stability: 
Recovery &amp; Monitoring Plan: . A call is scheduled with Infra and MIM teams at 7am tomorrow to monitor control M refresh. If control M refresh have not completed by 7:30am, below recovery actions will be taken, leading to ~1 hour outage across teams (no additional impact since jobs would be affected anyway, with BMC support engaged).
                     1. All 6 Servers CPU Upgrade to 8 Core
                     2. Move the Secondary Control M App Servers from Stockley to Swindon
                     3. Failover the DB to Primary
Stability &amp; Next Steps: If the control refreshes as usual, monitoring and hypercare will continue over the weekend. Further actions include planning for CPU upgrades, moving control and application servers to Swindon, and failing over to the primary database server after securing necessary portfolio approvals through a planned change.</t>
    </r>
    <r>
      <rPr>
        <b/>
        <sz val="10"/>
        <color rgb="FF000000"/>
        <rFont val="Aptos Narrow"/>
        <family val="2"/>
        <scheme val="minor"/>
      </rPr>
      <t xml:space="preserve"> Next update: 18:00
</t>
    </r>
    <r>
      <rPr>
        <sz val="10"/>
        <color rgb="FF000000"/>
        <rFont val="Aptos Narrow"/>
        <family val="2"/>
        <scheme val="minor"/>
      </rPr>
      <t>13:40 - All portfolios are back to BAU with the exception of Castle Donington which still has a backlog of 18k orders missing OF (Order fulfilment) payment message which includes 3.5k of NDD (next day delivery) orders. which could result in potential customer miss promised orders.  Order Fulfilment messages are actively progressing and systems are catching up with the backlog. Monitoring continues to ensure full recovery. A catch up call is scheduled at 15:00 to understand the next plan of actions to recover the primary database servers. Next update: 17:00
12:20 - The control M services were failed over to the secondary database server after which the control M components have now connected to the gateway which has resumed the execution of all the jobs since 11:52. An extensive validation is being performed across all the portfolios to ensure all the critical jobs are running as expected. Additional force triggers will be accommodated to avoid further impact to business. Focus is on Donington, Finance reporting and Foods OFP.  Next update: 14:30
11:30 - A clean restart of the database servers was performed followed by restarting the control M services, to no avail. Therefore, a decision was taken to failover the control M services to the secondary database server. This activity is now completed and initial checks look positive, further validations are in progress. Next update: 13:00
10:30 - A clean restart of the database servers was performed followed by restarting the control M services, to no avail. We are awaiting participation from vendor BMC for further triage.Next update: 12:00
09:20 - A control M service was restarted however, that did not fix the issue. We are planning to perform a clean database restart to try and fix the issue. Case raised with Vendor BMC. Next update at 10:30.</t>
    </r>
  </si>
  <si>
    <t>Srira Muthupandi</t>
  </si>
  <si>
    <t>The root cause was attributed to CTRL-M services running on the primary database, and a failover to the secondary database was initiated. Following this, CTRL-M services recovered as expected, all pending jobs were successfully loaded and triggered, and processing completed as normal. Root cause remains INCONCLUSIVE. ​</t>
  </si>
  <si>
    <t>INC287</t>
  </si>
  <si>
    <t>Delay in EDW Day-1 Reporting flow</t>
  </si>
  <si>
    <t xml:space="preserve">29/08 - There is a delay in generating the Finance Day-1 reports to the colleagues with an OLA of 10:00.  This is also impacting the Finance P5 closure activities. 
01/09 - There is a delay in generating the Finance Day-1 reports to the colleagues with an OLA of 11:00
</t>
  </si>
  <si>
    <r>
      <rPr>
        <sz val="10"/>
        <color rgb="FF000000"/>
        <rFont val="Aptos Narrow"/>
        <family val="2"/>
        <scheme val="minor"/>
      </rPr>
      <t xml:space="preserve">02/09
11:50: EDW Day-1 flow is complete at 07:16 without any issues,  root cause investigation is underway. However, the issue has not reoccured for after 01/09. NFU
08:00 - EDW Finance Day -1 jobs got completed today at 07:48 BST using the DS nodes 6, 7 &amp; 8 with no issues. We will keep the incident under monitoring to ensure successful completion of tonight's batch. Middleware Admin team continue to work on root cause related to the DS nodes. </t>
    </r>
    <r>
      <rPr>
        <b/>
        <sz val="10"/>
        <color rgb="FF000000"/>
        <rFont val="Aptos Narrow"/>
        <family val="2"/>
        <scheme val="minor"/>
      </rPr>
      <t xml:space="preserve">[Next Update: 03/09/25 12:00]
</t>
    </r>
    <r>
      <rPr>
        <sz val="10"/>
        <color rgb="FF000000"/>
        <rFont val="Aptos Narrow"/>
        <family val="2"/>
        <scheme val="minor"/>
      </rPr>
      <t xml:space="preserve">01/09 
12:30 - Post isolation of Node 4, all the Jobs were processed under Node 7 &amp; 8 as expected. Day -1 jobs got completed today at 12:28 BST. We will keep the incident under monitoring to ensure successful completion of tonight's batch. </t>
    </r>
    <r>
      <rPr>
        <b/>
        <sz val="10"/>
        <color rgb="FF000000"/>
        <rFont val="Aptos Narrow"/>
        <family val="2"/>
        <scheme val="minor"/>
      </rPr>
      <t xml:space="preserve">Next Update: 02/09 12:00
</t>
    </r>
    <r>
      <rPr>
        <sz val="10"/>
        <color rgb="FF000000"/>
        <rFont val="Aptos Narrow"/>
        <family val="2"/>
        <scheme val="minor"/>
      </rPr>
      <t xml:space="preserve">09:00 - This morning, further issues were reported with job slowness impacting the EDW Finance Day-1 reports generation. Datastage admin team identified an issue with DS Node 4 and therefore it is isolated. The EDW jobs are currently running in DS Node 7 &amp; 8 and we have triggered the Day-1 jobs which are currently being monitored. There is currently no ETA, business comms being sent to the colleagues. Next update at 10:30.
30/08: 07:30 - EDW Finance Day-1 reports were generated by 07:16 and the Middleware team continue to understand the issue with the Datastage node 5 which continues to be in isolation.
29/08: 13:00 - EDW Finance Day-1 reports were generated by 12:39 and colleague comms have been sent. We will keep the incident under monitoring to ensure successful completion of tonight's batch. We are also connecting with the Middleware team to understand the issue with the Datastage node 5 which continues to be in isolation. Next update at 14:00, 30/08
12:20 - As the control issue is resolved as of 11:52, the pending Day-1 jobs are currently executing as expected and the ETA of completion is 13:30. Colleague notification is sent to advise on the delay. Next update at 14:00
11:00 - Post the isolation of DS Node 5, the EDW Day -1 problematic jobs got completed as expected. There is a dependency on the Control M issue under INC286 to trigger the remaining Day-1 jobs for overall completion. 
For Control M resolution, a failover of database server is performed in concurrence with vendor BMC. </t>
    </r>
    <r>
      <rPr>
        <b/>
        <sz val="10"/>
        <color rgb="FF000000"/>
        <rFont val="Aptos Narrow"/>
        <family val="2"/>
        <scheme val="minor"/>
      </rPr>
      <t xml:space="preserve">Next update at 13:00
</t>
    </r>
    <r>
      <rPr>
        <sz val="10"/>
        <color rgb="FF000000"/>
        <rFont val="Aptos Narrow"/>
        <family val="2"/>
        <scheme val="minor"/>
      </rPr>
      <t>09:30 - There was an issue in executing the Day-1 Master data jobs due to an issue with the Datastage node 5, once this node 5 was isolated, the master data jobs are procesing as expected. The Control M issue will also have a cascading effect to the Day-1 completion. Next update at 11:00</t>
    </r>
  </si>
  <si>
    <t>Middleware Admin</t>
  </si>
  <si>
    <t>Richmond Gungoon</t>
  </si>
  <si>
    <t>INC289</t>
  </si>
  <si>
    <t>Ollerton DC colleagues are unable to log in to WMS UI across HHTs and pack benches impacting refund processing</t>
  </si>
  <si>
    <t xml:space="preserve">DC is unable to process the Postal refund. </t>
  </si>
  <si>
    <r>
      <rPr>
        <sz val="10"/>
        <color rgb="FF000000"/>
        <rFont val="Aptos Narrow"/>
        <family val="2"/>
        <scheme val="minor"/>
      </rPr>
      <t xml:space="preserve">31/08 : No further issues were reported by the site and services have remained stable, therefore, the incident is now resolved.
30/08 - This morning, similar issues were reported with 4 HHTs and 3 pack benches at the site for a brief period, however, without any technical actions, services restored. Network team has been engaged and relevant MAC &amp; IP addresses of the affected devices have been shared to investigate futher. Monitoring the stability will continue overnight today. </t>
    </r>
    <r>
      <rPr>
        <b/>
        <sz val="10"/>
        <color rgb="FF000000"/>
        <rFont val="Aptos Narrow"/>
        <family val="2"/>
        <scheme val="minor"/>
      </rPr>
      <t xml:space="preserve">next update at 14:00, 31/08
</t>
    </r>
    <r>
      <rPr>
        <sz val="10"/>
        <color rgb="FF000000"/>
        <rFont val="Aptos Narrow"/>
        <family val="2"/>
        <scheme val="minor"/>
      </rPr>
      <t xml:space="preserve">29/08
14:30 -  While troubleshooting with one of the DC colleagues (Chamber 5) it was reported that the services are restored on it's own. No corrective action was taken from the tech side. HHTs are also back online. There is no anomaly noticed from the Network side. However, both Network and DC team will keep things under monitoring for the rest of the day. As agreed with the Tech team and the Service Lead, if there's no recurrence of the issue, we will resolve it tomorrow. </t>
    </r>
    <r>
      <rPr>
        <b/>
        <sz val="10"/>
        <color rgb="FF000000"/>
        <rFont val="Aptos Narrow"/>
        <family val="2"/>
        <scheme val="minor"/>
      </rPr>
      <t xml:space="preserve">Next Update: 30/08 at 17:00.
</t>
    </r>
    <r>
      <rPr>
        <sz val="10"/>
        <color rgb="FF000000"/>
        <rFont val="Aptos Narrow"/>
        <family val="2"/>
        <scheme val="minor"/>
      </rPr>
      <t xml:space="preserve">
13:17 - WMS team have now performed a clearance of RDT tables in WMS, we are awaiting feedback from the site on the HHT performance. 
13:00- MIM 3 has been initiated, along with DB and NW team.</t>
    </r>
  </si>
  <si>
    <t>Root cause yet to be determined. Network and warehouse colleague team investigated the issue and RCA not conclusive</t>
  </si>
  <si>
    <t>INC291</t>
  </si>
  <si>
    <t>High Customer Failure Rate in Sherburn DC for 24th Aug</t>
  </si>
  <si>
    <t>Customers orders placed on the website on 24th August have not been fulfilled by Sherburn DC. ~4k orders are impacted resulting in poor customer experience.</t>
  </si>
  <si>
    <r>
      <rPr>
        <sz val="10"/>
        <color rgb="FF000000"/>
        <rFont val="Aptos Narrow"/>
        <family val="2"/>
        <scheme val="minor"/>
      </rPr>
      <t xml:space="preserve">02/09
07:20 - We got confirmation from the Sherburn WMS team that the all the pending orders in OMS queue were replayed and processed by 04:22. 
01/09
16:30 Still awaiting an update from Sherburn WMS team (not managed by TCS). Escalated to product team. </t>
    </r>
    <r>
      <rPr>
        <b/>
        <sz val="10"/>
        <color rgb="FF000000"/>
        <rFont val="Aptos Narrow"/>
        <family val="2"/>
        <scheme val="minor"/>
      </rPr>
      <t xml:space="preserve">Next update : 02/09 10:30 AM
</t>
    </r>
    <r>
      <rPr>
        <sz val="10"/>
        <color rgb="FF000000"/>
        <rFont val="Aptos Narrow"/>
        <family val="2"/>
        <scheme val="minor"/>
      </rPr>
      <t>11:23 OMS team retriggered the 368 orders as requested by the WMS team post which WMS team will validate the order status. No impact to existing orders. Next update : 16:30
01/09
23:00 On validations , WMS team confirmed that 368 orders are yet to be synced. Team will check on the orders report tomorrow morning to identity for any other orders mismatch between OMS and WMS systems. Next update : 01/09 11 AM
20:51- WMS team confirmed on the receipt of orders sent from OMS and validations are ongoing with the site next update: 23:00
18:42- OMS replayed all identified 2922 orders at 17:53 and WMS team yet to confirm the receipt of orders. next update 21:00
15:46- Due to an issue with OMS (Order Management System) database on 24th Aug, orders for 24th Aug were not sent from OMS to WMS so that Sherburn DC can process these orders. OMS team will now replay these 4k orders followed by validations by WMS team. Next update at 19:00.</t>
    </r>
  </si>
  <si>
    <t xml:space="preserve">Due to an issue with OMS (Order Management System) database on 24th Aug, orders for 24th Aug were not sent from OMS to WMS so that Sherburn DC can process these orders. </t>
  </si>
  <si>
    <t>INC292</t>
  </si>
  <si>
    <t>Multiple store colleagues are unable to access Intelligent Waste functionality within CSSM application.</t>
  </si>
  <si>
    <t>Stores were unable to complete waste / counting or any operations on Foods and FH&amp;B stock in CSSM application in honeywells.</t>
  </si>
  <si>
    <r>
      <t>01/09 : 08:30 - CSSM team purged backup data and had free up some space in the CSSM F drive which then allowed the transaction log backup job to execute as expected which restored services.
Manual monitoring on the CSSM database drives and configuring Email alert if the drive space is reaching more than 80% utilization until we have the SCOM alerts back up.
The current back up is being taken up in the CSSM server since TSM backup in yet to be recovered. Teams will discuss further regarding reinstating the TSM back up. 
Next update: 12:00, 01/09.
08:00 - It has been confirmed that the database transaction log backup job went into a hung state as one of the CSSM database drives (F drive) was full. As the F drive went full and the log backup job could not run which breached the E drive utilisition which caused the database to not accept any new transactions between 07:10 and 07:50. CSSM team purged some backup data (deleted 2 days worth data) to free up some space in the CSSM F drive which then allowed the T log backup job to run which restored services. 
Potential fix: 
1. Configure TSM backups to avoid backing up data in the database server.
2. Manual monitoring on the CSSM database drives - Email alert if the drive space is reaching more than 80% utilisation.</t>
    </r>
    <r>
      <rPr>
        <b/>
        <sz val="10"/>
        <color rgb="FF000000"/>
        <rFont val="Aptos Narrow"/>
        <family val="2"/>
        <scheme val="minor"/>
      </rPr>
      <t xml:space="preserve"> Next update: 12:00, 01/09.
</t>
    </r>
    <r>
      <rPr>
        <sz val="10"/>
        <color rgb="FF000000"/>
        <rFont val="Aptos Narrow"/>
        <family val="2"/>
        <scheme val="minor"/>
      </rPr>
      <t xml:space="preserve">
07:45 - We are in a MIM bridge investigating the issue. An IVR has been placed by Service Desk. Initial investigations are pointing to transaction logs being filled up in the database - this is further being investigated. Next update at 09:00.</t>
    </r>
  </si>
  <si>
    <t xml:space="preserve">CSSM </t>
  </si>
  <si>
    <t>Service Desk</t>
  </si>
  <si>
    <t>database transaction log backup job went into a hung state as one of the CSSM database drives (F drive) was full. As the F drive went full and the log backup job could not run which breached the E drive utilisition which caused the database to not accept any new transactions between 07:10 and 07:50.</t>
  </si>
  <si>
    <t>INC297</t>
  </si>
  <si>
    <t xml:space="preserve">High number of missed online order returns by Evri </t>
  </si>
  <si>
    <t>1. Contact Centre have called out an increase in their contact volumes since Friday with customers chasing their late orders and status
2. Poor customer experience and increase in CFR
3. Number of Evri Collection Requests has significantly dropped since last week (Teams are examining this data to confirm whether the drop is related to communications sent to customers informing them that they can now process their returns directly in store or whether this drop is related to a wider issue with Evri receiving return requests but with missing customer details)</t>
  </si>
  <si>
    <r>
      <rPr>
        <sz val="10"/>
        <color rgb="FF000000"/>
        <rFont val="Aptos Narrow"/>
        <family val="2"/>
        <scheme val="minor"/>
      </rPr>
      <t xml:space="preserve">07/09: 
10:00 - The number of customer complaints to the contact centre for this issue has continued to drop over the last few days. A follow up call will be held with Evri on Monday to discuss next steps for Root cause analysis, alerting and preventative measures. Hence incident marked for resolved. 
8:30 - The issue was observed on 18/08  and resolved at 29/08 by EVRI, But the incident  start date was 03/09, as the issue was escalated due number of shouts to Contact Center. 
05/09 - Evri confirmed that the issue affecting M&amp;S online returns was due to an incident with their routing services, starting on 18th August at 10:11 and resolved on 29th August at 15:20. Initially thought to affect only deliveries (MOD service), it was later found to also impact returns (MOC service), which M&amp;S uses. The issue caused incorrect customer data for returns during that period. Returns placed after 30th August are working correctly, and customer complaints have been decreasing since then. The incident remains open for monitoring over the weekend. </t>
    </r>
    <r>
      <rPr>
        <b/>
        <sz val="10"/>
        <color rgb="FF000000"/>
        <rFont val="Aptos Narrow"/>
        <family val="2"/>
        <scheme val="minor"/>
      </rPr>
      <t xml:space="preserve">Next Update: 08/09 17:00
</t>
    </r>
    <r>
      <rPr>
        <sz val="10"/>
        <color rgb="FF000000"/>
        <rFont val="Aptos Narrow"/>
        <family val="2"/>
        <scheme val="minor"/>
      </rPr>
      <t xml:space="preserve">
05/09 - 12:00 - A call was held with Evri this morning and three examples were shared with Evri during the call - Evri checked and concluded that the wrong address details have been populated on their end. The correct details were sent for these three examples by M&amp;S. Evri will focus their investigation on these three examples </t>
    </r>
    <r>
      <rPr>
        <b/>
        <sz val="10"/>
        <color rgb="FF000000"/>
        <rFont val="Aptos Narrow"/>
        <family val="2"/>
        <scheme val="minor"/>
      </rPr>
      <t xml:space="preserve">[Next update: 05/09, 18:00]
</t>
    </r>
    <r>
      <rPr>
        <sz val="10"/>
        <color rgb="FF000000"/>
        <rFont val="Aptos Narrow"/>
        <family val="2"/>
        <scheme val="minor"/>
      </rPr>
      <t xml:space="preserve">04/09 
18:10 - Investigation at Evri is still ongoing, no conclusive feedback received.
As a next step to identify the scale of the orders being sent by M&amp;S vs processed at Evri, team plans to collate. Returns created for past 15 days from 24th Aug onwards (downward trend in collection was reported in Evri data). Volume of request successfully sent to Evri via Carrier Gateway. SFMC email count for CFH Evri returns. Based on the data points team will be able to compare with Evri provided data to take the analysis further. Follow up call is schedule for tomorrow morning 9:00 AM with Evri. </t>
    </r>
    <r>
      <rPr>
        <b/>
        <sz val="10"/>
        <color rgb="FF000000"/>
        <rFont val="Aptos Narrow"/>
        <family val="2"/>
        <scheme val="minor"/>
      </rPr>
      <t xml:space="preserve">Next Update:  05/09 12:00
</t>
    </r>
    <r>
      <rPr>
        <sz val="10"/>
        <color rgb="FF000000"/>
        <rFont val="Aptos Narrow"/>
        <family val="2"/>
        <scheme val="minor"/>
      </rPr>
      <t xml:space="preserve">
16:40 - A call is scheduled with Evri at 17:00. next update at 18:00.
11:25 Evri have advised that they are still investigating and will provide an update on their investigation later this morning. A call has been setup with Evri at 13:30 to discuss their findings so far. </t>
    </r>
    <r>
      <rPr>
        <b/>
        <sz val="10"/>
        <color rgb="FF000000"/>
        <rFont val="Aptos Narrow"/>
        <family val="2"/>
        <scheme val="minor"/>
      </rPr>
      <t xml:space="preserve">Next update : 16:00
</t>
    </r>
    <r>
      <rPr>
        <sz val="10"/>
        <color rgb="FF000000"/>
        <rFont val="Aptos Narrow"/>
        <family val="2"/>
        <scheme val="minor"/>
      </rPr>
      <t xml:space="preserve">
03/09 : 
19:45 - The relevant teams joined the call at 17:30 and attempted to recreate the issue through a return initiated on the portal used by the contact centre. The teams confirmed they were still unable to reproduce the issue through this method.Further examples of recent returns orders were shared with Evri as requested by them.  Evri have acknowledged that their does seem to be an anomaly in some of the examples they have previously looked into. They will review the latest examples and provide a full update on their investigation tomorrow morning. </t>
    </r>
    <r>
      <rPr>
        <b/>
        <sz val="10"/>
        <color rgb="FF000000"/>
        <rFont val="Aptos Narrow"/>
        <family val="2"/>
        <scheme val="minor"/>
      </rPr>
      <t xml:space="preserve">Next Update: 04/09 12:00
</t>
    </r>
    <r>
      <rPr>
        <sz val="10"/>
        <color rgb="FF000000"/>
        <rFont val="Aptos Narrow"/>
        <family val="2"/>
        <scheme val="minor"/>
      </rPr>
      <t xml:space="preserve">16:45: Returns team attempted to reproduce the issue so that the details could be tracked through both M&amp;S and Evri systems, however, all returns that were initiated appeared to have flown through the M&amp;S and Evri systems correctly and we were unable to reproduce the scenario. Further investigations with Evri has confirmed that there is no issue within M&amp;S landscape Evri engineer will continue to investigate and has requested if further examples from the last 7 days can be shared with them to further investigate on a potential issue with geocoordinates internal to Evri. A call has been setup at 17:30 with Evri to get an update on their investigation and to attempt to further reproduce the issue by placing a return using the portal that the contact centre uses to process returns. </t>
    </r>
    <r>
      <rPr>
        <b/>
        <sz val="10"/>
        <color rgb="FF000000"/>
        <rFont val="Aptos Narrow"/>
        <family val="2"/>
        <scheme val="minor"/>
      </rPr>
      <t xml:space="preserve">Next update: 20:00, 03/09
</t>
    </r>
    <r>
      <rPr>
        <sz val="10"/>
        <color rgb="FF000000"/>
        <rFont val="Aptos Narrow"/>
        <family val="2"/>
        <scheme val="minor"/>
      </rPr>
      <t xml:space="preserve">11:12 - Evri have investigated example impacted return orders that were shared with them, and they have advised that there appears to be missing customer information which has meant they have been unable to generate a collection on their end. Next update: 16:00, 03/09
The Returns team have checked and could see that the correct customer details were sent to Evri. Evri have requested example logs of the requests so that they can examine further why these failed to reach them.
The requested logs were shared with Evri yesterday evening and Evri is currently investigating. </t>
    </r>
    <r>
      <rPr>
        <b/>
        <sz val="10"/>
        <color rgb="FF000000"/>
        <rFont val="Aptos Narrow"/>
        <family val="2"/>
        <scheme val="minor"/>
      </rPr>
      <t xml:space="preserve">Next update: 03/0916:00
</t>
    </r>
    <r>
      <rPr>
        <sz val="10"/>
        <color rgb="FF000000"/>
        <rFont val="Aptos Narrow"/>
        <family val="2"/>
        <scheme val="minor"/>
      </rPr>
      <t xml:space="preserve"> 10:35 -  EVRI cannot reach out to the customer address since return label is printed at DC address instead of customer address, although M&amp;S has correctly printed the Return Label. MIM 1 initiated,EVRi tech team has been scheduled for a call this afternoon to investigate and resolve the issue. However looking to expediate the traige</t>
    </r>
  </si>
  <si>
    <t>EVRI (Vendor)</t>
  </si>
  <si>
    <t>Evri confirmed that the issue affecting M&amp;S online returns was due to an incident with their routing services</t>
  </si>
  <si>
    <t>INC298</t>
  </si>
  <si>
    <t>High Volume of Customers Receive Incorrect Order Delayed Email</t>
  </si>
  <si>
    <t>Poor customer experience as they will receive a notification advising them that their order is delayed. although orders were shipped on time.
Revenue loss due NDD delivery charges been refunded to customers (to be determined)</t>
  </si>
  <si>
    <r>
      <rPr>
        <sz val="10"/>
        <color rgb="FF000000"/>
        <rFont val="Aptos Narrow"/>
        <family val="2"/>
        <scheme val="minor"/>
      </rPr>
      <t xml:space="preserve">6/09 - Mis promise Control-M daily schedule got triggered at 07:00 AM and was successfully completed as expected. Team verified that all the genuine delays comms were triggered successfully.
05/09 - The miss promise job hs been moved to run at 07:00 under CHG2509 and no issues were reported today. We will monitor tommorrw's run before resolving the incident. </t>
    </r>
    <r>
      <rPr>
        <b/>
        <sz val="10"/>
        <color rgb="FF000000"/>
        <rFont val="Aptos Narrow"/>
        <family val="2"/>
        <scheme val="minor"/>
      </rPr>
      <t xml:space="preserve">Next update at 14:00, 06/09
</t>
    </r>
    <r>
      <rPr>
        <sz val="10"/>
        <color rgb="FF000000"/>
        <rFont val="Aptos Narrow"/>
        <family val="2"/>
        <scheme val="minor"/>
      </rPr>
      <t xml:space="preserve">04/09 
11:25 Mis-Promise Control-M job daily schedule change ( Part of CHG2509) will be implemented tonight; post change the future runs will be scheduled at 07:00 AM and will be monitored. </t>
    </r>
    <r>
      <rPr>
        <b/>
        <sz val="10"/>
        <color rgb="FF000000"/>
        <rFont val="Aptos Narrow"/>
        <family val="2"/>
        <scheme val="minor"/>
      </rPr>
      <t xml:space="preserve">Next update : 05/09 11:00 AM
</t>
    </r>
    <r>
      <rPr>
        <sz val="10"/>
        <color rgb="FF000000"/>
        <rFont val="Aptos Narrow"/>
        <family val="2"/>
        <scheme val="minor"/>
      </rPr>
      <t xml:space="preserve">08:15 - Control M job time change, from 5 am to 7 am every day, was not implemented yesterday due to the P3 incident; the change shall be implemented today, and shall be monitored tomorrow for the first run and beyond. </t>
    </r>
    <r>
      <rPr>
        <b/>
        <sz val="10"/>
        <color rgb="FF000000"/>
        <rFont val="Aptos Narrow"/>
        <family val="2"/>
        <scheme val="minor"/>
      </rPr>
      <t xml:space="preserve">Next update at 9:00, 05/09.
</t>
    </r>
    <r>
      <rPr>
        <sz val="10"/>
        <color rgb="FF000000"/>
        <rFont val="Aptos Narrow"/>
        <family val="2"/>
        <scheme val="minor"/>
      </rPr>
      <t xml:space="preserve">03/09 - 14:00 - We have had agreement from business that the customer miss promise job in OMS will be moved to 07:00. We will monitor the execution of the customer miss promise job tomorrow morning before we set to Resolved. </t>
    </r>
    <r>
      <rPr>
        <b/>
        <sz val="10"/>
        <color rgb="FF000000"/>
        <rFont val="Aptos Narrow"/>
        <family val="2"/>
        <scheme val="minor"/>
      </rPr>
      <t xml:space="preserve">Next update at 8:00, 04/09.
</t>
    </r>
    <r>
      <rPr>
        <sz val="10"/>
        <color rgb="FF000000"/>
        <rFont val="Aptos Narrow"/>
        <family val="2"/>
        <scheme val="minor"/>
      </rPr>
      <t xml:space="preserve">12:15 - As part of CHG2602 - Azure Kubernetes service (AKS) Cluster upgrade for Dotcom portfolio omsprod01 &amp;omsdr0001, the OMS API services were down and were brought back after 03:00. We have confirmed that there is no delay from WMS or Mule layers, however, all the messages that were processed between 23:00 and 03:00 (during the outage), had failed in the Mule backout queues. 
 Through an automated script in Mule (recently introduced), these messages were processed to OMS once the outage was completed which resulted in a delay in processing the messages within Order Management system after the 5am cut off. 
 Note: Pre incident, the script was not configured and through alerting failures were identified within Mule layer which imposed the engagement of OMS team to hold the job until the backlog is processed.
The miss promise job ran at 05:00 as expected while the failed messages were still processing which resulted in the delivery of delayed messages to customers. 
Actions agreed: 
1. OMS Miss promise job to be held and involvement of Mule team during future upgrades. Due to lack of alerting, the failure in Mule was not identified which could have avoided the issue by holding the OMS miss promise jobs - Tech action
2. OMS Miss promise job to be rescheduled after 07:00 after analysing the regular stats of the ASN processing from WMS to OMS. - Business decision.
 </t>
    </r>
    <r>
      <rPr>
        <b/>
        <sz val="10"/>
        <color rgb="FF000000"/>
        <rFont val="Aptos Narrow"/>
        <family val="2"/>
        <scheme val="minor"/>
      </rPr>
      <t xml:space="preserve">Next update at 17:00
</t>
    </r>
    <r>
      <rPr>
        <sz val="10"/>
        <color rgb="FF000000"/>
        <rFont val="Aptos Narrow"/>
        <family val="2"/>
        <scheme val="minor"/>
      </rPr>
      <t xml:space="preserve">10:53 - Usually, the dispatch comms job in OMS runs at 05:00 - this job is responsible to send "Delayed" comms to customers for missing ASN (Advanced Shipment Notifications) from WMS. This morning, around 14k orders missed its ASN informations in OMS due to which bulk delayed emails were sent to customers. We are investigating the root cause with WMS, OMS and Middleware layer to avoid recurrence and identify a fix, there is no resolution action for this incident as the emails have been sent. </t>
    </r>
    <r>
      <rPr>
        <b/>
        <sz val="10"/>
        <color rgb="FF000000"/>
        <rFont val="Aptos Narrow"/>
        <family val="2"/>
        <scheme val="minor"/>
      </rPr>
      <t xml:space="preserve">Next update: 03/0913:00
</t>
    </r>
    <r>
      <rPr>
        <sz val="10"/>
        <color rgb="FF000000"/>
        <rFont val="Aptos Narrow"/>
        <family val="2"/>
        <scheme val="minor"/>
      </rPr>
      <t>10:42 - MIM2 is initiated for the issue. WMS team is being engaged along with .com teams to triage the issue.  Next update at 13:00
Flow : OMS -&gt; WMS -&gt; OMS for fulfilment.</t>
    </r>
  </si>
  <si>
    <t>CHG2509</t>
  </si>
  <si>
    <t>Usually, the dispatch comms job in OMS runs at 05:00 - this job is responsible to send "Delayed" comms to customers for missing ASN (Advanced Shipment Notifications) from WMS. This morning, around 14k orders missed its ASN informations in OMS due to which bulk delayed emails were sent to customers. We are investigating the root cause with WMS, OMS and Middleware layer to avoid recurrence and identify a fix</t>
  </si>
  <si>
    <t>INC300</t>
  </si>
  <si>
    <t>Foods RDC Goods Receipts not flowing to ASO due to a middleware issue</t>
  </si>
  <si>
    <t>Foods RDC goods receipts flow into ASO was impacted affecting the generation of allocation instructions. All foods depots was operating in backup allocation between 13:14 and 13:30.</t>
  </si>
  <si>
    <r>
      <rPr>
        <sz val="10"/>
        <color rgb="FF000000"/>
        <rFont val="Aptos Narrow"/>
        <family val="2"/>
        <scheme val="minor"/>
      </rPr>
      <t xml:space="preserve">16:30 - Services have remained stable and the middleware team is trying to explore options to enable manual monitoring to avoid business impact. 
14:00 - One of the Middleware channel (MQ channel) went into a "retry state" due to a network disruption (this is a known issue) and this was manually restarted to restore services by 13:25. Pre incident, ignio automation was enabled for this channel which allowed an automatic restart after the channel goes in to "retry state" - this is NOT RECOVERED yet.
 Pending action: Middleware team to check with SME to configure a manual monitoring mechanism as an interim solution to avoid impact. </t>
    </r>
    <r>
      <rPr>
        <b/>
        <sz val="10"/>
        <color rgb="FF000000"/>
        <rFont val="Aptos Narrow"/>
        <family val="2"/>
        <scheme val="minor"/>
      </rPr>
      <t xml:space="preserve">Next Update: 17:00 
</t>
    </r>
    <r>
      <rPr>
        <sz val="10"/>
        <color rgb="FF000000"/>
        <rFont val="Aptos Narrow"/>
        <family val="2"/>
        <scheme val="minor"/>
      </rPr>
      <t>13:30 - One of the middleware channels went into a "retry state" which was restarted to resume the flow of messages. Due to the disruption of an hour, we are trying to assess any residual impact in SAP layer before we discuss on the root cause. GIST has been advised to put the depots back to live allocation at 13:30. Next update at 14:30 
13:20 - MIM2 will be initiated to assess the impact. Middleware team being engaged. Next update at 14:10</t>
    </r>
  </si>
  <si>
    <t xml:space="preserve">Middleware admin </t>
  </si>
  <si>
    <t>One of the Middleware channel (MQ channel) went into a "retry state" due to a network disruption (this is a known issue).</t>
  </si>
  <si>
    <t>INC302</t>
  </si>
  <si>
    <t>Some tills across 15+ stores are not accepting colleague discounts</t>
  </si>
  <si>
    <t>Colleagues are unable to redeem their discounts across the self check-out tills and manned tills across 15+ stores.</t>
  </si>
  <si>
    <r>
      <rPr>
        <sz val="10"/>
        <color rgb="FF000000"/>
        <rFont val="Aptos Narrow"/>
        <family val="2"/>
        <scheme val="minor"/>
      </rPr>
      <t xml:space="preserve">05/09 : 
14:00 - No issues reported in colleague discount since today morning files copy and automated MRS reboots of Tills.
Health checks on the discount files on few impacted stores from yesterday , seem to be fine. No issues observed.
</t>
    </r>
    <r>
      <rPr>
        <b/>
        <u/>
        <sz val="10"/>
        <color rgb="FF000000"/>
        <rFont val="Aptos Narrow"/>
        <family val="2"/>
        <scheme val="minor"/>
      </rPr>
      <t xml:space="preserve">Root cause identified:
</t>
    </r>
    <r>
      <rPr>
        <u/>
        <sz val="10"/>
        <color rgb="FF000000"/>
        <rFont val="Aptos Narrow"/>
        <family val="2"/>
        <scheme val="minor"/>
      </rPr>
      <t>Waterside</t>
    </r>
    <r>
      <rPr>
        <sz val="10"/>
        <color rgb="FF000000"/>
        <rFont val="Aptos Narrow"/>
        <family val="2"/>
        <scheme val="minor"/>
      </rPr>
      <t xml:space="preserve"> : As part of incident recovery and stabilization, there was a change of Y-account for POS Tills. This was trialled from Waterside as pilot and the colleague discount application folder had lost the access to the bootstrap file causing impacts to the discount file being loaded. Teams will be amending the folder permission to give rights to the new Y account.
</t>
    </r>
    <r>
      <rPr>
        <u/>
        <sz val="10"/>
        <color rgb="FF000000"/>
        <rFont val="Aptos Narrow"/>
        <family val="2"/>
        <scheme val="minor"/>
      </rPr>
      <t>Other stores</t>
    </r>
    <r>
      <rPr>
        <sz val="10"/>
        <color rgb="FF000000"/>
        <rFont val="Aptos Narrow"/>
        <family val="2"/>
        <scheme val="minor"/>
      </rPr>
      <t xml:space="preserve">: The file had a corruption error message after copying the file yesterday morning. Teams are investigating further on the reason for the corruption.
09:00 - No further issues were reported by the stores this morning. We have agreed to monitor the performance until lunch time before resolving the incident.
</t>
    </r>
    <r>
      <rPr>
        <b/>
        <sz val="10"/>
        <color rgb="FF000000"/>
        <rFont val="Aptos Narrow"/>
        <family val="2"/>
        <scheme val="minor"/>
      </rPr>
      <t xml:space="preserve">Next update : 05/09 14:00
</t>
    </r>
    <r>
      <rPr>
        <sz val="10"/>
        <color rgb="FF000000"/>
        <rFont val="Aptos Narrow"/>
        <family val="2"/>
        <scheme val="minor"/>
      </rPr>
      <t>04/09
17:21 The stores with server issues also confirmed the discount applied fine after Tills/SCO’s reboots. Teams are still working on identifying the root cause of the issue and will be monitoring the systems post the planned discount file updates and automated reboots tomorrow morning.</t>
    </r>
    <r>
      <rPr>
        <b/>
        <sz val="10"/>
        <color rgb="FF000000"/>
        <rFont val="Aptos Narrow"/>
        <family val="2"/>
        <scheme val="minor"/>
      </rPr>
      <t xml:space="preserve">Next update : 05/09 09:00
</t>
    </r>
    <r>
      <rPr>
        <sz val="10"/>
        <color rgb="FF000000"/>
        <rFont val="Aptos Narrow"/>
        <family val="2"/>
        <scheme val="minor"/>
      </rPr>
      <t xml:space="preserve">15:00 With the help of POS, SIT (Store Infra team) teams, the PSA launcher was manually triggered to upload the colleague discount files for Waterside and the issue is RESOLVED across all tills. For other stores, store have been advised to reboot the problematic tills to resolve the issue. A handful of stores have confirmed that this has worked, we are awaiting a confirmation from the remaining stores. 
Root cause investigations underway with POS &amp; SIT teams.
A view of the estate wide tills that could potentially get impacted. </t>
    </r>
    <r>
      <rPr>
        <b/>
        <sz val="10"/>
        <color rgb="FF000000"/>
        <rFont val="Aptos Narrow"/>
        <family val="2"/>
        <scheme val="minor"/>
      </rPr>
      <t xml:space="preserve">Next update at 17:00
</t>
    </r>
    <r>
      <rPr>
        <sz val="10"/>
        <color rgb="FF000000"/>
        <rFont val="Aptos Narrow"/>
        <family val="2"/>
        <scheme val="minor"/>
      </rPr>
      <t xml:space="preserve">12:20 -  With the help of POS, SIT (Store Infra team) teams, we have now identified the below scenarios to explain why the colleague discount file was not reflecting in few tills at few stores. 
Waterside store - Although the file has been copied as expected, however, the underlying PSA Launcher responsible to download the colleague discount file on the tills did not work as expected. Therefore, we have now manually triggered the PSA launcher to few impacted tills and have confirmed that colleague discounts have started working on these tills. Similar action being performed for the remaining tills.
Other stores - After the 04:30 reboot for 50% tills (this is an usual activity overnight), it is believed that the PSA Launcher did not kick in as expected, therefore, a further reboot of the impacted tills have now confirmed that the tills have started working as expected. Therefore, stores have been advised to reboot the impacted tills to restore services.
Root cause needs to be investigated for the PSA Launcher not working as expected. Also requires a further review of the solution of the interim solution of copying the files from the Waterside proxy server through MECM. </t>
    </r>
    <r>
      <rPr>
        <b/>
        <sz val="10"/>
        <color rgb="FF000000"/>
        <rFont val="Aptos Narrow"/>
        <family val="2"/>
        <scheme val="minor"/>
      </rPr>
      <t xml:space="preserve">Next update at 15:00.
</t>
    </r>
    <r>
      <rPr>
        <sz val="10"/>
        <color rgb="FF000000"/>
        <rFont val="Aptos Narrow"/>
        <family val="2"/>
        <scheme val="minor"/>
      </rPr>
      <t xml:space="preserve">11:09 - Since the incident, the colleague discount file was pulled through the store proxy server at Waterside from the CDCS application (Colleague Discount Cache service). As the store proxy servers are shaky across the store estate, a manual workaround was enabled to push the colleague discount file from the Waterside proxy server though MECM on all the tills across the store estate (irrespective of the fact that the stores have a healthy store proxy server). POS Team are now attempting to delete the existing colleague discount file from one of the impacted tills at Waterside store to allow the download of the colleague discount file again followed by a reboot of the till and verify if this restores service. Once proven, similar action will be carried out for other impacted tills across the reported stores. </t>
    </r>
    <r>
      <rPr>
        <b/>
        <sz val="10"/>
        <color rgb="FF000000"/>
        <rFont val="Aptos Narrow"/>
        <family val="2"/>
        <scheme val="minor"/>
      </rPr>
      <t xml:space="preserve">Next update at 13:00.
</t>
    </r>
    <r>
      <rPr>
        <sz val="10"/>
        <color rgb="FF000000"/>
        <rFont val="Aptos Narrow"/>
        <family val="2"/>
        <scheme val="minor"/>
      </rPr>
      <t xml:space="preserve">10:50 - Since the incident, the colleague discounts files are uploaded to the tills across the tills estate using a temporary tactical solution overnight. Whilst the overnight solution ran on 4th Sep, we have observed multiple tills across 15+ stores have not received the file this morning. When attempted to re-upload the file on the database, the file is getting corrupted and this will be further investigated with the POS and POG team along with SIT. </t>
    </r>
    <r>
      <rPr>
        <b/>
        <sz val="10"/>
        <color rgb="FF000000"/>
        <rFont val="Aptos Narrow"/>
        <family val="2"/>
        <scheme val="minor"/>
      </rPr>
      <t>Next update at 12:00</t>
    </r>
  </si>
  <si>
    <t>POS, SIT</t>
  </si>
  <si>
    <t>Waterside : As part of incident recovery and stabilization, there was a change of Y-account for POS Tills. This was trialled from Waterside as pilot and the colleague discount application folder had lost the access to the bootstrap file causing impacts to the discount file being loaded. Teams will be amending the folder permission to give rights to the new Y account.
Other stores: The file had a corruption error message after copying the file yesterday morning. Teams are investigating further on the reason for the corruption.
09:00 - No further issues were reported by the stores this morning. We have agreed to monitor the performance until lunch time before resolving the incident.</t>
  </si>
  <si>
    <t>INC305</t>
  </si>
  <si>
    <t>Issue with Returns operations at Stores, warehouses &amp; Online.</t>
  </si>
  <si>
    <t>Stores, Online, Supply Chain</t>
  </si>
  <si>
    <t>Order history unavailable for customers
Stores were unable to process returns using honey-well app &amp; self-serve Kiosk/Tablet
Ollerton DC return processing also impacted
Poor customer return experience
Potential spike in customer complaints to contact center</t>
  </si>
  <si>
    <r>
      <rPr>
        <sz val="10"/>
        <color rgb="FF000000"/>
        <rFont val="Aptos Narrow"/>
        <family val="2"/>
        <scheme val="minor"/>
      </rPr>
      <t xml:space="preserve">05/09
11:11 - Order returns and history services remain stable, with alerting and monitoring in place; order API Team will review the root cause of the CPU throttle issue and implement measures to prevent its recurrence.
04/09
16:00 - Investigations revealed CPU throttling across the application PODs, therefore, the CPU was increased across the Order API application pods - request CPU 200m -&gt; 500m, max CPU 500m -&gt; 1000m which has now resolved the issue across stores, Online and Ollerton DC at 15:45 - Monitoring continues. We are not sure of the reason behind the CPU throttling, and alerting capability to identify the pod restarts/ CPU usage.  </t>
    </r>
    <r>
      <rPr>
        <b/>
        <sz val="10"/>
        <color rgb="FF000000"/>
        <rFont val="Aptos Narrow"/>
        <family val="2"/>
        <scheme val="minor"/>
      </rPr>
      <t xml:space="preserve">Next update at 05/09, 12:00
</t>
    </r>
    <r>
      <rPr>
        <sz val="10"/>
        <color rgb="FF000000"/>
        <rFont val="Aptos Narrow"/>
        <family val="2"/>
        <scheme val="minor"/>
      </rPr>
      <t xml:space="preserve">14:30 - A config change was made on the Order APIs this morning which involved restart of pods to get the new data from the OMS database. After the change, the Order API services connect to the primary database instead of the secondary database. Workaround being performed to direct the Order APIs to point to the secondary OMS database. </t>
    </r>
    <r>
      <rPr>
        <b/>
        <sz val="10"/>
        <color rgb="FF000000"/>
        <rFont val="Aptos Narrow"/>
        <family val="2"/>
        <scheme val="minor"/>
      </rPr>
      <t xml:space="preserve">Next update at 15:30
</t>
    </r>
    <r>
      <rPr>
        <sz val="10"/>
        <color rgb="FF000000"/>
        <rFont val="Aptos Narrow"/>
        <family val="2"/>
        <scheme val="minor"/>
      </rPr>
      <t>13:55 API requests to the click and collect API return a 500 error. Teams are working with Ollerton DC as the DC are processing refunds</t>
    </r>
  </si>
  <si>
    <t xml:space="preserve">Order API </t>
  </si>
  <si>
    <t>Valli</t>
  </si>
  <si>
    <t>Investigations revealed CPU throttling across the application PODs. API Team will review the root cause of the CPU throttle issue and implement measures to prevent its recurrence.</t>
  </si>
  <si>
    <t>INC306</t>
  </si>
  <si>
    <t>Approx 500 Capita Contact Center colleagues are having issues with their P Account and are locked out currently</t>
  </si>
  <si>
    <t>Contact Center</t>
  </si>
  <si>
    <t>c.a. 500 users impacted. Capita Cape Town Contact Centre colleagues cannot logon to Sharepoint (One Truth Hub), email, etc. Cannot log onto SSO apps such as Zendesk and Google CCAIP. Currently impacting ability to service customer contacts leading to poor customer experience. But as users need to log onto SSO apps then it will effectively close the CT operation.</t>
  </si>
  <si>
    <r>
      <rPr>
        <sz val="10"/>
        <color rgb="FF000000"/>
        <rFont val="Aptos Narrow"/>
        <family val="2"/>
        <scheme val="minor"/>
      </rPr>
      <t xml:space="preserve">05/09 : There was no change raised to deploy the change and a retro change will be raised. 
17:00 - Resolved the issue by removing South Africa from the blocked country list. Confirmed all end-users back to normal. Confirmed this also impacted the D&amp;T Computacenter colleagues also operating out of South Africa CT.
16:08 - As part of a Azure hardening activity requested by security we implemented a restriction based on their recommendation to specific countries which blocked access based on the location. Unfortunately, included within it was SA. AD team have removed this nation from the list which appears to have remediated the issue.Next update at 17:30
15:53 - Thomas Stacy from AD team has already identified the issue and working on the fix. We are currently waiting for the update from the AD on the issue and detailed fix they are trying to apply. </t>
    </r>
    <r>
      <rPr>
        <b/>
        <sz val="10"/>
        <color rgb="FF000000"/>
        <rFont val="Aptos Narrow"/>
        <family val="2"/>
        <scheme val="minor"/>
      </rPr>
      <t>Next update: 17:00, 04/09</t>
    </r>
  </si>
  <si>
    <t xml:space="preserve">Chris Mcgrath </t>
  </si>
  <si>
    <t>As part of a Azure hardening activity requested by security we implemented a restriction based on their recommendation to specific countries which blocked access based on the location. Unfortunately, included within it was SA.</t>
  </si>
  <si>
    <t>INC312</t>
  </si>
  <si>
    <t>INC000090903873</t>
  </si>
  <si>
    <t>Franchise &amp; Mainchain stores encountering issue while login in to Workstations</t>
  </si>
  <si>
    <t>Colleagues are unable to access applications via workstations. For accessing apps like ECS/ open access / outlook / teams / user manager - managers can use surface go tablets. However, stores will be unable to connect to the network printers and will impact the printing of ECS ticketing and Open access planogram details.  
This is affecting both mainchain and franchise stores. We have 90+ stores who have reported the issues to help desk so far.</t>
  </si>
  <si>
    <r>
      <rPr>
        <sz val="10"/>
        <color rgb="FF000000"/>
        <rFont val="Aptos Narrow"/>
        <family val="2"/>
        <scheme val="minor"/>
      </rPr>
      <t xml:space="preserve">09/09:
15:40 - All stores have remained stable and no further issues reported with workstation logon delays. A PIR will be held to understand the behavioural change between the stores and the DFS servers and the underlying element within the change that caused the issue. 
11:40 - Post the network change implementation implemented yesterday, so far no stores have reported any further workstation login delay issues. Today morning few more stores (Manchester, Paddington Rail, Brighton) have confirmed they aren't seeing any login issues in their workstations. Incident is kept under monitoring till today EOD to further monitor. 
</t>
    </r>
    <r>
      <rPr>
        <b/>
        <sz val="10"/>
        <color rgb="FF000000"/>
        <rFont val="Aptos Narrow"/>
        <family val="2"/>
        <scheme val="minor"/>
      </rPr>
      <t xml:space="preserve">Next update:  09/09, 17:00
</t>
    </r>
    <r>
      <rPr>
        <sz val="10"/>
        <color rgb="FF000000"/>
        <rFont val="Aptos Narrow"/>
        <family val="2"/>
        <scheme val="minor"/>
      </rPr>
      <t xml:space="preserve">
08/09: 
17:45 - Following the network change implementation, a handful of stores have confirmed  no further delays in store workstations logon and awaiting feedback from the remaining. Store comms have been sent and Service Desk have been apprised to advise colleagues to perform a restart of the workstations incase of any issues. Minor errors are observed in DFS servers which will be picked up under the DFS recovery stream. The incident will be monitored until COP tomorrow. </t>
    </r>
    <r>
      <rPr>
        <b/>
        <sz val="10"/>
        <color rgb="FF000000"/>
        <rFont val="Aptos Narrow"/>
        <family val="2"/>
        <scheme val="minor"/>
      </rPr>
      <t xml:space="preserve">Next update:  09/09, 10:00
</t>
    </r>
    <r>
      <rPr>
        <sz val="10"/>
        <color rgb="FF000000"/>
        <rFont val="Aptos Narrow"/>
        <family val="2"/>
        <scheme val="minor"/>
      </rPr>
      <t xml:space="preserve">16:00 - The changes to allow the network ports were applied to 2 test stores and the store workstations log on have returned to normal. Therefore, same changes were deployed across all the stores on the SDWAN hub and Juniper firewall under CHG2757. 
Feedback being secured across the impacted stores. DFS servers are being monitored and the overall performance will be monitored until COP tomorrow. Next update at 18:00
15:13 - It is believed that as part of restoring DFS (Distributed File System) under CHG2757, it has interrupted the communication between the store &amp; the store proxy servers trying to connect to DFS, which could have caused the issue. A tactical fix was performed in the network layer to allow certain TCP ports which has now fixed the issue for the Heswall SF. The same change is attempted for another test store with logon issues.  Next update:  08/09, 16:30.
14:00 - For Heswall SF store which is currently reporting the login issue, team have identified that only replication ports are enabled for this workstation and not the local server port. Network team have been asked to allow DFS Connectivity from the Store Heswall (5827) to see if that fixes the login issue for this store. Network team is working on the implementation plan and also trying to get juniper engineer to support on this implementation. </t>
    </r>
    <r>
      <rPr>
        <b/>
        <sz val="10"/>
        <color rgb="FF000000"/>
        <rFont val="Aptos Narrow"/>
        <family val="2"/>
        <scheme val="minor"/>
      </rPr>
      <t xml:space="preserve">Next update:  08/09, 15:30
</t>
    </r>
    <r>
      <rPr>
        <sz val="10"/>
        <color rgb="FF000000"/>
        <rFont val="Aptos Narrow"/>
        <family val="2"/>
        <scheme val="minor"/>
      </rPr>
      <t>13:00 - Most of the impacted stores confirmed that the workstation logon is fine and they could log into applications within the desired threshold.
Technical Teams are currently investigating the DFS (Distributed File System) configuration to identify any correlations.
Network team are currently checking the FortiManager to validate the network rules. In parallel, stores team continue to investigate to isolate the issue.
Next update:  08/09, 14:30
11:30 - Paddington Store - The issue could not be reproduced, logon worked fine, stores internal applications are loading as expected.
Uxbridge Store - Initially faced delay in logins, after workstation restart login time is &lt;1 minute, however, internal applications - Outlook, Teams are taking longer to load. 
Network traces showed good connections and no issues. Network team to check on the reverse DNS settings.
A decision has been taken to dial few impacted stores and clarify if the delays in workstation logon still exists. Next update: 08/09, 13:00
10:30 - Two separate streams have been stood up to triage the issue and collect logs across Paddington &amp; Uxbridge store. We are observing two different scenarios - delays in logging in to the workstation at Uxbridge and issue in opening applications from Stores Application launcher at Paddington. Post login need to get the event logs and performance monitor to investigate further.
Meanwhile trying to reach out to CrowdStrike team to check if any updates has been made in the CrowdStrike end. Next update:  08/09, 11:30
09:30 - Below actions are ongoing:
SIT team has arranged for an engineer (Deepak) to visit the Uxbridge store to get the required logs from the workstations. ETA 15 mins
Christopher Thomas is going to Paddington store (impacted store) to fetch the required logs from the workstations. Separate MIM bridge opened to work with Microsoft in extracting the logs.
Meanwhile Network team did initial network checks and have confirmed no issues seen from network end. CPU health and memory, Firewall health checks, CPU seems good. Confirmed that there is no failover option, validating DNS logs. They are checking on the possibility of tunnel failover option now. 
Next update:  08/09, 10:30
08:30 - We are InProgress of reaching out few of the  impacted stores to understand the current scope of impact and in parallel we are extracting the logs from workstation as requested my Microsoft.  We have AD, Network, Store infra and Microsoft on the call to triage further. Next update:  08/09, 10:00
07/09:
22:18 One of the AD changes implemented last week for the DFS recovery was reverted and it did not give any improvements. Microsoft Sev A case raised and we are having support from MS on call now Teams are still trying to investigate the logs and see if they can identify the issue. Next update : 08/09 08:30 
19:34 Application and services Logs extracted and AD team are validating the logs with respect to Group policies and for any errors.Teams are working on raising a Sev A case with Microsoft to get assistance on the investigation of the issue. DFS changes done as part of recovery of DFS servers and AD changes to enable it last week are being validated to see if there could have been any impacts. Next update :22:00
18:00 - With live trouble shooting in 2 stores, we identified that the workstation logs in eventually after 20-30 mins and users are able to access apps.
We checked with further stores to see if any store is still unable to login or if its only slowness in logon which they have been experiencing. Based on store feedback it seems to be only logon slowness so far.
We are trying to get more technical resources into Stockley, so that the Stores Infra, Network and AD teams can investigate further on the potential root cause.
In parallel, working to raise a Sev1 case with Microsoft. Next Update: 07/09 20:00
16:00 - Latest Update: Post discussion with infra team SME, it has been confirmed that DFS server not responding and PDC changes during the last week, potentially would not have caused the store workstations login issues.
The DNS ports blocked in network layer is also as expected and not an issue. We have confirmed its enabled via DC's.
With live trouble shooting in 2 stores we identified that the workstation logs in eventually after 20-30 mins and users are able to access apps.
We are checking with further more stores to see if any store is still unable to login or if its only slowness in logon which they have been experiencing.
Stores Infra, Network and AD teams continue to investigate with no potential root cause being identified.
Next Update: 07/09 18:00
13:30 - Active Directory services (AD) team, Stores Infra Support team (SIT) and Network team have joined the MIM call and are troubleshooting the issue. SIT team tried few login tests in the workstations through test accounts, it is taking exact 5 minutes for them to login to the workstations. Communication between store workstations and VIP seems fine from Network end. AD suggesting to check the test logins from the reported workstations, and to do connectivity test to DNS server by bypassing the load balancer. Next update: 07/09 14:30 PM
14:40: Post triaging, Network and AD team were not able to see any issues with the traffic. 
Three observations made so far:
System is trying to hit the DFS servers and not receiving response. AD Team Suggesting we might need to reach out to Store team on understanding what changes were done on DFS on Friday (05/09) 
Also, from AD perspective there was a minor change done last Wednesday on PDC movement to SP. AD team can check on the possibility in moving the PDC back to Azure from SP
Few ports are blocked in DNA in network - but this is existing architecture and no issues observed in this so far. Next Update: 07/09 16:00
13:30 - Active Directory services (AD) team, Stores Infra Support team (SIT) and Network team have joined the MIM call and are troubleshooting the issue. SIT team tried few login tests in the workstations through test accounts, it is taking exact 5 minutes for them to login to the workstations. Communication between store workstations and VIP seems fine from Network end. AD suggesting to check the test logins from the reported workstations, and to do connectivity test to DNS server by bypassing the load balancer. 
Next update: 07/09 14:30 PM
12:30:MIM Bridge has been initiated at 11:55 PM and we are still waiting for Active Directory (AD) team (Robin Painter) to reach the Stockley park office. Stores Infra Support team has been engaged to support the AD team in triaging the issue. An IVR has been placed by the Service Desk at 09:50 to inform colleagues of the known issue while still allowing them to log incidents.
Next Update: 07/09 1:30 PM
11:14: Earlier, the issue was expected to be P2 as the stores was able to login after 30 mins. However,  Service desk has now confirmed that the stores are unable to log into workstation and access apps , hence the priority of the incident in upgraded to P1. MIM comms and store comm are being sent. Meanwhile a call will be initiated once the  tech teams who will be performing the triage reach Stockley park. ETA: 12:00. Retail Operations and Communication teams have been engaged to review and send the Store comms.  An IVR has already been placed by 09:50.  Next update: 12:30, 07/09/2025
09:45: Service desk has reported that some stores have called report issues with Workstations, Valli (SL) is validating if this is same set of stores are new. Based on the impact, the issue priority will be changed and MIM process will be invoked.  Meanwhile, we have Active Directory and Store infra resources being arranged to go to Stockley park to investigate on the issue. ETA for reaching the Stockley park- 12:00. Next update: 12:30,07/09
08:30 : We are continuing monitor, if  other stores are reporting issues today, this will to be escalated with AD team to investigate further on priority.  Next update at 07/09 18:00
06/09 - Suspecting issue with AD domain controller. Initial investigation to be done by Stores Server Infra Support team and then involve AD and network team if required to investigate on this in detail tomorrow morning. [Next update at 07/09 09:30]</t>
    </r>
  </si>
  <si>
    <t>It is believed that as part of restoring DFS (Distributed File System) under CHG2757, it has interrupted the communication between the store &amp; the store proxy servers trying to connect to DFS, which could have caused the issue.</t>
  </si>
  <si>
    <t>INC313</t>
  </si>
  <si>
    <t>Colleagues unable to login to Microsoft teams</t>
  </si>
  <si>
    <t xml:space="preserve">Loyalty , FH&amp;B </t>
  </si>
  <si>
    <t>Colleagues unable to colloborate and work on their daily tasks</t>
  </si>
  <si>
    <r>
      <rPr>
        <sz val="10"/>
        <color rgb="FF000000"/>
        <rFont val="Aptos Narrow"/>
        <family val="2"/>
        <scheme val="minor"/>
      </rPr>
      <t xml:space="preserve">16:00- After the AD team reinstated the Microsoft licenses, all impacted colleagues were able to log in successfully since 10:30, and no further issues have been reported, so the incident is now being resolved. 
 Root cause: On 05/09 around 15:54, One Identity ran a synch/process across all security groups. Due to a mismatch in the object ID between Azure AD (entra) and One Identity for the security group “LICMS Persona 2,” which contained 2,864 accounts, One Identity revoked Microsoft licenses for all associated users. A deeper investigation is still required to understand why the object IDs differed between the two systems, which ultimately triggered the issue.
10:00 Bridge call was initiated and got it confirmed that licenses were added to 2000+ colleagues to reinstate the access. Scott is reviewing the logs to understand the root cause. Keeping the incident under monitoring. Initiat checks with impacted colleagues confirmed incident resolution. </t>
    </r>
    <r>
      <rPr>
        <b/>
        <sz val="10"/>
        <color rgb="FF000000"/>
        <rFont val="Aptos Narrow"/>
        <family val="2"/>
        <scheme val="minor"/>
      </rPr>
      <t xml:space="preserve">Next update : 16:00 
</t>
    </r>
    <r>
      <rPr>
        <sz val="10"/>
        <color rgb="FF000000"/>
        <rFont val="Aptos Narrow"/>
        <family val="2"/>
        <scheme val="minor"/>
      </rPr>
      <t>06:00 MIM were made aware that some licenses were removed and are co-ordinating with AD team</t>
    </r>
  </si>
  <si>
    <t>One Identity ran a synch/process across all security groups. Due to a mismatch in the object ID between Azure AD (entra) and One Identity for the security group “LICMS Persona 2,” which contained 2,864 accounts, One Identity revoked Microsoft licenses for all associated users. A deeper investigation is still required to understand why the object IDs differed between the two systems, which ultimately triggered the issue.</t>
  </si>
  <si>
    <t>INC314</t>
  </si>
  <si>
    <t>Capita Contact Centre colleagues unable to access WCS</t>
  </si>
  <si>
    <t>Contact centre colleagues are unable to address customer queries.</t>
  </si>
  <si>
    <t xml:space="preserve">13:50 - the issue was due to the Akami DoS rate limit set that had been exceeded by the CT Contact Centre causing it to block the IP addresses for 10 mins. The issue was resolved by setting DoS rate limit exclusions in the M&amp;S P1 policy, ensuring the rate limit is not applied to these contact centre IPs, post which users confirmed that they now have access. A retro change has been requested to the Change Management Team
12:52 - Investigations revealed that since the website rebuild, the rate limit has not been set for the egress Capita IP so with the volume of colleagues starting to ramp up this has been exceeded and have resulted in locking out the IP address for 10 mins. We have the relevant teams on the call trying to add the IP addresses to restore the services.
Next update: 14:00.
12:26 - When colleagues try to access WCS on the web, it is failing over to an incorrect IP address. Clearing cache has been suggested, could be a local  issue as Chester is not impacted. </t>
  </si>
  <si>
    <t>CHG2932</t>
  </si>
  <si>
    <t xml:space="preserve">The issue was due to the Akami DoS rate limit set that had been exceeded by the CT Contact Centre causing it to block the IP addresses for 10 mins. </t>
  </si>
  <si>
    <t>INC315</t>
  </si>
  <si>
    <t>Sparks hub inaccesible on M&amp;S iOS app (Related)</t>
  </si>
  <si>
    <t>Customers are unable to view their bag, products, and access Sparks Hub.
Poor customer experience and drop in orders and revenue.
Android App, Mobile Web and Desktop are not impacted</t>
  </si>
  <si>
    <t>15:14 - No further issues reported, services have remained stable. PIR planned for 09/09.
14:14 - CHG2685 was deployed to remove unused proxies and products in Apigee and Frontend resources as part of Phoenix recommendations, but some of the deleted products were still actively used by three apps. This led to quota violations that caused navigations and store APIs to fail, impacting both iOS and Android users. The issue arose because dependencies were not fully validated before deletion, and products marked as unused were still in use. Service was restored by updating the affected apps to stop using the Phoenix product by 13:44. The incidents will now be monitored until 15:00 before resolving.
Actions for the PIR: 
a deprecation process with monitoring before deletion
 end-to-end validation of changes to prevent future recurrences.
Validation of 4 Wall changes. Next update at 15:30
12:56 - Service lead (Priyabarta Sahu) is trying to investigate the issue with iOS team. Next update at 14:00</t>
  </si>
  <si>
    <t>iOS app</t>
  </si>
  <si>
    <t>CHG1781 – Tealium Tag change in Onyx was deployed at 08:05. As part of any Onyx change, during the change, Asset sync between Onyx platform and Akamai is an usual activity, however, due to an unknown reason, the sync was broken for primary assets responsible for M&amp;S.com homepage after CHG1781 which caused the issue.​
Platform/akamai team to conclude the root cause behind the asset sync and precautions to avoid impact in future changes.​</t>
  </si>
  <si>
    <t>INC316</t>
  </si>
  <si>
    <t>MPG (Mobile Pay Go) / Scan &amp; Shop Mobile inaccessible across iOS and Android apps across all the stores</t>
  </si>
  <si>
    <t>Scan &amp; Shop mobile app was down in impacting colleagues/customers in stores completing the transactions in Mobile app (iOS &amp; Andropd). As a workaround customers were redirected to Tills to complete the transactions during the impacted window</t>
  </si>
  <si>
    <r>
      <t xml:space="preserve">15:14 - No further issues reported, services have remained stable. PIR planned for 09/09.
14:15 - CHG2685 was deployed to remove unused proxies and products in Apigee and Frontend resources as part of Phoenix recommendations, but some of the deleted products were still actively used by three apps. This led to quota violations that caused navigations and store APIs to fail, impacting both iOS and Android users. The issue arose because dependencies were not fully validated before deletion, and products marked as unused were still in use. Service was restored by updating the affected apps to stop using the Phoenix product by 13:44. The incidents will now be monitored until 15:00 before resolving.
</t>
    </r>
    <r>
      <rPr>
        <b/>
        <sz val="10"/>
        <color rgb="FF000000"/>
        <rFont val="Aptos Narrow"/>
        <family val="2"/>
        <scheme val="minor"/>
      </rPr>
      <t xml:space="preserve">Actions for the PIR: 
</t>
    </r>
    <r>
      <rPr>
        <sz val="10"/>
        <color rgb="FF000000"/>
        <rFont val="Aptos Narrow"/>
        <family val="2"/>
        <scheme val="minor"/>
      </rPr>
      <t xml:space="preserve">- a deprecation process with monitoring before deletion
-  end-to-end validation of changes to prevent future recurrences.
Validation of 4 Wall changes. Next update at 15:30
13:17 - MIM4 being opened to triage the issue, initial investigations pointing towards a store API issue. Next update at 14:30. </t>
    </r>
  </si>
  <si>
    <t>Stores API</t>
  </si>
  <si>
    <t>INC318</t>
  </si>
  <si>
    <t>INC000090924864</t>
  </si>
  <si>
    <t>Non-resilient Digital cafés (9) are down</t>
  </si>
  <si>
    <t>9 Digital Cafe stores are currently not able to take orders through the customer Kiosks- they have been advised to use their Hidden till until the issue has been resolved</t>
  </si>
  <si>
    <r>
      <t xml:space="preserve">12/09 - Root cause - Counter Solutions noticed 186 occurrences where orders failed to be sent to QSR. It was confirmed  that we experienced an issue relating to the Azure SQL Instance that holds all of our customer databases. Once alerted to the issue, investigations led us to review the infrastructure configuration assigned to both primary and secondary instances and discovered the issue came from a misconfiguration. The configuration was rectified appropriately, as well as additional alerting around our SQL infrastructure to ensure that we are made aware of any related issues before they cause issues. 
11/09 - 
10:00 - Monitoring has continued and no further issues have been seen. Confirmed with Laura, we are resolving the incident, however the actions under the PIR will be taken forward to try and understand root cause.
16:27 - An issue was identified where a UPC without a selling code in the VOD database caused POS -basket errors, affecting a high-volume product (large coffee). This likely led to customer-facing issues, either due to increased attempts from a free coffee offer or from hitting a failure limit. The teams continue to affirm this based on data &amp; facts. The issue originated from the hospitality release on 3rd September and has since been fixed. The incident remains under monitoring until tomorrow lunchtime to ensure stability before closure. </t>
    </r>
    <r>
      <rPr>
        <b/>
        <sz val="10"/>
        <color rgb="FF000000"/>
        <rFont val="Aptos Narrow"/>
        <family val="2"/>
        <scheme val="minor"/>
      </rPr>
      <t xml:space="preserve">Next update at 15:00, 11/09.
</t>
    </r>
    <r>
      <rPr>
        <sz val="10"/>
        <color rgb="FF000000"/>
        <rFont val="Aptos Narrow"/>
        <family val="2"/>
        <scheme val="minor"/>
      </rPr>
      <t>15:57 - Stores have reported that the issue has been resolved, and they are back to trading normally now. Despite digging down to logs from Network Firewall, DNS and Store QSR Servers, the Root cause has not yet been identified. So we remain under monitoring and continue with investigating on the cause at the backend for PIR. We are going to keep the incident under monitoring until tomorrow to see how the transactions go in these Cafes. Next Update: Next Update 11/09 17:00
14:00 -  All the 9 digital cafes are back online now. However, there was no definite root cause identified and hence no corrective action was taken. It was more of a self healing. We are still checking the FortiGate logs to see if there was any network denial through the firewall. Currntly Incident has been put under monitoring. Next Update: 17:00 10/09
13:00 - 1out of 9 digital cafes are back online now. London Colney- is back up and running. QSR server was rebooted- while looking through the logs- it’s showing a DNS errors. Another one at TRAFFORD CENTRE MANCHESTER is having intermittent connection issues. We have engaged Network engineers to double check if there’s anything blocking from M&amp;S Network/DNS side. We are also trying to bring AD team to investigate the DNS error. Next Update: 14:00 10/09
11:45 - Updates from the Business is that service is restoring slowly. No update from CS just yet. Next Update 13:00
11:38 - DN have raised the ticket with the vendor Counter Solutions as a Priority ticket and they are investigating at the moment and Comms to the 9 stores have been sent. 
11:22 - It initially felt like a BLIP and might be back, however, after checking with a few more stores - it was confirmed that the issue is still there.
11:15 - Vendor DN is working with Counter Solutions on the recovery.</t>
    </r>
  </si>
  <si>
    <t>Counter Solutions</t>
  </si>
  <si>
    <t>Laura Whittle</t>
  </si>
  <si>
    <t>Counter Solutions noticed 186 occurrences where orders failed to be sent to QSR. It was confirmed  that we experienced an issue relating to the Azure SQL Instance that holds all of our customer databases. Once alerted to the issue, investigations led us to review the infrastructure configuration assigned to both primary and secondary instances and discovered the issue came from a misconfiguration.</t>
  </si>
  <si>
    <t>INC322</t>
  </si>
  <si>
    <t>Delay in sending FFO orders to the suppliers.</t>
  </si>
  <si>
    <t>Food Final Orders will be delayed to suppliers for their picking/production.</t>
  </si>
  <si>
    <r>
      <t>13/09
06:00: Food Final Orders completed successfully at 05:46. No further issues were observed in SAP PO, and the system has remained stable. A PIR will be scheduled to determine the root cause and identify preventive measures.
12/09:08:00 - After the archiving of the transactional log files, all purchase orders were sent out of SAP and these orders have now reached Open Text. Foods final orders were sent to suppliers at 08:19 . The incident will be kept open to monitor overnight run with an intention to resolve it by 09:00 am tomorrow post the completion of nightly batches.Hypercare in place with the relevant teams .</t>
    </r>
    <r>
      <rPr>
        <b/>
        <sz val="10"/>
        <color rgb="FF000000"/>
        <rFont val="Aptos Narrow"/>
        <family val="2"/>
        <scheme val="minor"/>
      </rPr>
      <t xml:space="preserve">Next Update: 13/09/2025 @ 09:00 [SAP Team also confirmed that there is a free space of 70-80% and teams do not expect a recurrence of the issue]
</t>
    </r>
    <r>
      <rPr>
        <sz val="10"/>
        <color rgb="FF000000"/>
        <rFont val="Aptos Narrow"/>
        <family val="2"/>
        <scheme val="minor"/>
      </rPr>
      <t>07:00 - One of the DB file system which holds the transactional log files in SAP PO seems to be full due to which SAP PO was not responding and message pile-ups happened in the system between 05:30 and 06:30 and teams working to clear it. Next Update at 12/09 08:00 AM
06:40 - Food Final Orders have not reached SAP and are stuck in SAP PO layer. One food platform banner has been updated to inform suppliers to use the 28 day order plan if needed. Teams are investigating. Next Update at 12/09 7:30 AM</t>
    </r>
  </si>
  <si>
    <t>Bhuvaneswari Sundaravadivelu</t>
  </si>
  <si>
    <t>One of the DB file system which holds the transactional log files in SAP PO seems to be full due to which SAP PO was not responding and message pile-ups happened in the system</t>
  </si>
  <si>
    <t>INC325</t>
  </si>
  <si>
    <t>INC000090911956</t>
  </si>
  <si>
    <t>Welham Green DC lost HHT connectivity across the site</t>
  </si>
  <si>
    <t>Welham Green DC colleagues are unable to pick, pack &amp; despatch operations. DC have confirmed that the issue is confined to HHTs only - no issues observed with workstations/pack benches.
Operational Impact: All retail routes are loaded until 22:30. The current impact is to the Swindon trailer despatch scheduled for 19:30 which has now been extended to 22:30. Additionally, there is a capability loss of 3k Boxed singles and 10k hanging singles.
finance impact: Welham impact was one delayed store despatch to Swindon and c105 hrs lost which cost c1.8k</t>
  </si>
  <si>
    <t>13/09:
The HHT connectivity in Welham Green DC  remained stable with no further issues. Also, the impact remains unchanged We got a confirmation from service lead to resolve the issue. 
12/09 : 
21:35 - WMS team have cleared the invalid triggers from the WMS database and initial checks look positive as we can see colleagues able to proceed further in the pick, pack &amp; despatch operations through the HHTs. We have received a final confirmation from site that services are restored by 21:15, however, the incident will be kept under monitoring to conclude on the final impact and HHT stability. 
 Actions for the PIR: 
WMS and Oracle DBA to identify the source of the invalid triggers impacting the HHT connectivity to the WMS Database.
Once identified, explore options to configure alert for proactive clearance of these invalid triggers.
Review of the overall Incident logging process with Service desk along with effective issue description.
 Next update at 10:00, 13/09
21:24 - WMS team have cleared the invalid triggers from the WMS database and initial checks look positive as we can see colleagues able to proceed further in the pick, pack &amp; despatch operations through the HHTs. Service lead procuring a final confirmation from the site on service restoration. The last leg is to get a feedback from site if they will be able to spin up more colleagues to fulfil the Swindon trailer by 22:30 to avoid any delays to store movements.
21:05 - WMS team have identified some invalid sessions as a result of some incorrect triggers from Ops between the HHTs and the WMS database - this could have potentially blocked the access to the HHTs. WMS team have identified an approach to clear these sessions from the WMS database which i currently underway and then we will validate with site if the service is restored. ETA: 10mins.
20:58 - WMS team have identified some invalid sessions as a result of some incorrect triggers from Ops between the HHTs and the WMS database - this could have potentially blocked the access to the HHTs. Options being explored to clear these session from WMS layer. Additionally, Oracle database team being engaged to assist further.
20:15 - Initial validations from Network has confirmed that there are no obvious issues aka, no alerts have been triggered. WMS teams are checking the daemons to identify any issues. Next update at 20:45
20:00 -WMS team have validated and could not find any issues. MIM engaging with Network team on a bridge</t>
  </si>
  <si>
    <t>WMS team have identified some invalid sessions as a result of some incorrect triggers from Ops between the HHTs and the WMS database - this could have potentially blocked the access to the HHTs</t>
  </si>
  <si>
    <t>INC326</t>
  </si>
  <si>
    <t>Performance issue while extracting the data  in SAP GMOR system</t>
  </si>
  <si>
    <t xml:space="preserve">Finance , FH&amp;B, Foods </t>
  </si>
  <si>
    <t>Delay in availability of Day-1 &amp; GMOR purchase information flow information to FH&amp;B, Foods &amp; Finance colleagues, if the issue continues to persist today, the weekly critical reporting in other downstream systems like, SSI, BEAM for Sunday will be impacted.
Impact as on 16th Sep - 
1.EDW - Potential impact to EDW Day-1 flow completion which impacts reports dependent on General Ledger and Daily sales. Affected reporting may include: Power BI Daily Sales, Board (Foods) Dailies, Business Objects Canned or Self-Service Reports at Day level (On a daily schedule or Event trigger)
2. GMOR - User self-serviced &amp; BO reports, SSI and O9 systems do not currently have the latest sales and stock data.
Impact as on 21st Sep -
GMOR - User self-serviced &amp; BO reports, SSI systems do not currently have the latest sales data.</t>
  </si>
  <si>
    <r>
      <t>22/09 - Discussed with Pawan about resolving this INC. We shouldnt be keeping INC's open for RCA if they have been stable for a number of days. Pawan has agreed this INC can now be placed into Resolved. 
20/09 
No Delays are observed in GMOR and Day-1 flows, Teams are actively working with IBM Vendor to arrive at the root cause.</t>
    </r>
    <r>
      <rPr>
        <b/>
        <sz val="10"/>
        <color rgb="FF000000"/>
        <rFont val="Arial"/>
        <family val="2"/>
      </rPr>
      <t xml:space="preserve">Next Update at 22/09, 17:00
</t>
    </r>
    <r>
      <rPr>
        <sz val="10"/>
        <color rgb="FF000000"/>
        <rFont val="Arial"/>
        <family val="2"/>
      </rPr>
      <t>19/09
Pawan has confirmed this is pending with the AIX team they have raised a case with IBM and awaiting feedback. - Next update 17:00 20/09
18/09
10:00 Performance logs have been extracted and updated in IBM Case for further analysis and is being escalated to get an updates sooner. Next update : 11:00, 19/09
17/09 
17:00 We still await an update from SAP on the TRFC failures and an update on the investigation b/w DB and Basis. Next update : 11:00, 18/09
10:00 GMOR flows completed at 03:35 and the Day-1 completed at 08:41 AM. we still await an update from SAP on the tRFC failures and an update on the investigation b/w DB and Basis. Next update : 17:00
16/09 16:30 - We setup a call with all relevant tech teams and the data logs have been shared with database team for investigating with SAP Basis and analyse the data load and run statistics in SAP. We await feedback on further analysis from the database team. SAP very high case was raised this morning by SAP reporting team for the TRFC issue and we are currently awaiting an update. Next Update : 17/09/2025 17:00
11:56 - GMOR batch completed at 07:32. GMOR BO is non-operational to business colleagues. SSI and O9 completed at 08:35
EDW Day-1 Reporting:  Day-1 flow completed at 11:23 BST
Continuing the monitoring with the technical teams.  A SAP case is raised to understand on the root cause for the TRFC failures Next update : 16/09 16:30
8:00 - GMOR Batch: GMOR batch completed at 07:32. GMOR BO is non-operational to business colleagues.
SSI and O9 due to be completed at 08:45
EDW Day-1 Reporting:  Job processing has started in EDW and expected to complete with an ETA:10:30
Teams are still working on the root cause with the transactional log failures
Next Update: 16/09/2025@ 10:00 AM
7:00 - GMOR Batch: Master data jobs  got completed at 04:30 and the GMOR batch is initiated with an ETA of 07:30. Post completion of batch , GMTDB flows will start with an ETA of 08:45. 
EDW Day-1 Reporting: Purchasing job extraction and Finance jobs extractions got completed and expected to complete at 10:30 
Teams are still working on the root cause with the transactional log failures
Next Update: 16/09/2025@ 08:00 AM
05:20 Incident upgraded to a P2 around 05:20 .
Latest Update:
GMOR Batch: Master data jobs  got completed at 04:30 and the GMOR batch is initiated with an ETA of 07:30. Post completion of batch , GMTDB flows will start with an ETA of 08:30. 
EDW Day-1 Reporting: Purchasing jobs have been re-triggered and is in progress with an ETA of 06:00. Finance jobs are also in progress with an ETA of 07:00. Post these actions , EDW team will start to start consuming the data once finance jobs complete. Next Update: 16/09/2025@ 6:30 AM
04:00 Issue started at 15/09 20:15 and teams were notified from EDW at 01:00 AM. Teams have ruled out issues with the file systems( space utilization less than 60%) and teams . BW team have killed one of the master data jobs and retriggered the jobs and jobs are progressing fine. Next update:05:00
15/09 - EDW Day-1. GMOR batch have completed on time this morning. SAP ECC and GMOR performance have remained stable. 
Root cause: The problem lies in the SAP archival jobs transferring data to TSM from CSAP ECC. Ideally, the log files from ECC should be automatically backed up in TSM; however, the files are redirected to the archive path which got filled yesterday and system were not performing as expected. The team has contacted TSM, and the storage backup team has implemented the required modifications to ensure the files are directed to the backup path. The performance remains stable since. We still need to understand the issues with the data transfer to archive path and not to TSM.
 This situation was identified through manual monitoring, as the alerts have not yet been activated and received by the team.
14/09:
14:00  GMOR Batch: The system performance remains stable; however, the batch completed successfully at 13:30
EDW Day-1 Reporting: The EDW day-1 got completed at 12:55.
The SAP team is investigating the root cause of the performance issues within SAP systems - GMOR (13/09) and ECC(14/09).Meanwhile team will be on hypercare to monitor the overnight batch. Next update: 10:00, 15/09
09:00 GMOR Batch: The system performance remains stable; however, the batch is progressing with a delay due to BAU job failures, ETA: 10:00
EDW Day-1 Reporting: The delay is due to SAP ECC performance issues today. The batch has resumed and is expected to complete by 13:00. Proactive user communication has been sent.
A thorough review was conducted with all downstream systems and reporting teams. No impact has been identified beyond the incurred delays.
Open Action: The SAP team is investigating the root cause of the performance issues within SAP systems - GMOR (13/09) and ECC(14/09)
Next update: 14:00, 14/09
13/09:
20:10 - EDW Day-1 batch completed at 20:01 and flow will be monitored overnight with closely monitoring the DataStage node logs to ensure that the issue is not recurring (INC287 - Root cause is yet to be determined). Next update: 11:00, 14/09
16:00 - GMOR flows completed at 15:08 and EDW Day-1 batch is progressing fine with an ETA: 17:45. [Next update at 16:00]
14:15 - GMOR extractor jobs are completed and further batches are in progress. The teams are monitoring the data loads with an ETA: 15:30.
The EDW data has been loaded successfully and Day-1 batch has started with an ETA: 17:45.
13:50 - Day-1 data extraction is complete in SAP BW and the data is being loaded for EDW to extract. ETA for completion- 14:00. Once the data is loaded, EDW Day-1 batch will be started and its expected to complete by 15:00. We are not anticipating this over night as the GMOR performance is stable after restart. However, team will be on hypercare to monitor the overnight batch. Next update: 15:00, 13/09
12:31 - GMOR system performance continue to be stable, however the Day-1 data flow is still in progress though the performance is better than before but its not processing at its optimal speed due to the volume of data.  on a normal day it processes around 2M records, now we are processing around 7.8 M due to the data accumulation caused by job failures during the day on 12/09.  Team is on bridge call, monitoring the progress on hypercare. We have processed around 5.79 M /7.8 M so far. Next update: 15:00, 13/09
11:00 The GMOR system has been successfully restarted, and system performance has improved noticeably. We are in progress of monitoring of GMOR system performance and Day-1 data flow processing performance in parallel. Next update: 15:00, 13/09
09:25:  We are observing an increasing number of TRFC (Transactional &amp; Remote Function Call) failures, which are disrupting communication within SAP systems. This is resulting in performance degradation in GMOR systems, subsequently impacting Day-1 data flow as a cascading effect. The team is performing a GMOR  restart in a controlled manner in an attempt to mitigate the issue. The incident is currently being managed as a Priority 3 (P3). However, if the restart does not resolve the issue and the impact persists—especially considering the potential disruption to critical Sunday reporting in downstream systems such as SSI, BEAM, and others—the incident priority will be escalated, and the Major Incident Management (MIM) process will be invoked. Next update:11:30, 13/09</t>
    </r>
  </si>
  <si>
    <t>SAP Basis</t>
  </si>
  <si>
    <t>TRFCs did not get transferred freely between cSAP ECC and GMOR system resulting in delays. This also had a cascading impact on the Day minus flows from cSAP ECC to cSAP BW system (finally into EDW/BO). GMOR was restarted, batches were resumed. Infra has raised a ase with IBM - IBM analysing the logs</t>
  </si>
  <si>
    <t>INC327</t>
  </si>
  <si>
    <t>Store and DC Stock Discrepancy impacting the H1 finance reporting</t>
  </si>
  <si>
    <t>FH&amp;B, Finance, Stores</t>
  </si>
  <si>
    <t>Impact to H1 finance reporting, potential impacting stock fullfillment to FH&amp;B stores</t>
  </si>
  <si>
    <r>
      <rPr>
        <sz val="10"/>
        <color rgb="FF000000"/>
        <rFont val="Arial"/>
        <family val="2"/>
      </rPr>
      <t xml:space="preserve">24/09
Store Stock &amp; DC Stock Discrepancy - Minor stock discrepancies will be handled as BAU. Teams will continue working with the ICT finance to carry out stock-realignment to avoid further stock discrepancies.
Latency issue between FH&amp;B Bradford Kisoft WMS and MQ: Resiliency has been enabled for the Knapp MQ server and the application has remained stabled. No further latency issue has been observed. 
23/09
Store Stock Discrepancy:
A review of priority stores identified several reconciliation and process issues, with corresponding actions agreed:
Sterling OMS Returns Not Flowing into POS-DTA: Returns for orders prior to 3rd August are not integrated; Finance is managing these via manual journals.
Minor POS Sales Reconciliation Gaps: Some POS sales are not reconciled with CSSM; monitoring is ongoing.
Incorrect Valuation of Non-Valuated Stock: Certain article types (e.g., gift vouchers, GM coupons) are incorrectly valued; details will be provided to ICT for MAP adjustments and revaluation.
Late Sales: Identified as a business-as-usual (BAU) issue.
Manual Goods Receipt by ICT: ICT team has manually receipted some articles; details shared for ICT to post necessary adjustments.
Duplicate Realignment Postings: Duplicate postings were identified and corrective actions have already been completed by ICT.
DC Stock Discrepancy: For CD, 2.8 million variance was observed, and ICT (Inventory Control Team) team has confirmed that post realignment, still couple of IDOCS are pending to be actioned, which is causing variances which will be with SAP team to Sort.
Latency issue between FH&amp;B Bradford Kisoft WMS and MQ:
Resiliency has been enabled for the Knapp MQ server and latency is as expected and monitoring until tomorrow for stability.
 To agree on the next course of action for this incident, a call would be scheduled tomorrow with the required stakeholders.
</t>
    </r>
    <r>
      <rPr>
        <b/>
        <sz val="10"/>
        <color rgb="FF000000"/>
        <rFont val="Arial"/>
        <family val="2"/>
      </rPr>
      <t xml:space="preserve">Next update: 24/09/25 17:00
</t>
    </r>
    <r>
      <rPr>
        <sz val="10"/>
        <color rgb="FF000000"/>
        <rFont val="Arial"/>
        <family val="2"/>
      </rPr>
      <t xml:space="preserve">
22/09
19:20 - DC Stock Discrepancy: Stock integrity reports were available and for CD, 4.36 million variance was observed and ICT (Inventory Control Team) team has confirmed that this issue is due to manual posting from the last week's corrections. Since, there were multiple duplicate postings by ICT, it is not possible to assess, identify and clear them. Hence, ICT has proposed for realignment and it is currently underway. Tomorrow's morning SI report will confirm if there are any underlying issues and if it needs a fix.
 Store Stock Discrepancy:
For 26 stores, the stock variance were fixed. While today, business has shared the list of 10 Food stores and SAP team is working on it.
While for Latency issue between FH&amp;B Bradford Kisoft WMS and MQ, Post failover of the Knapp application server, the latency time for the traffic between WMS and MQ has remained stable. To enable resiliency for the MQ server, it has been agreed with Knapp IT for an Middleware outage between 10:00 and 12:00.
 </t>
    </r>
    <r>
      <rPr>
        <b/>
        <sz val="10"/>
        <color rgb="FF000000"/>
        <rFont val="Arial"/>
        <family val="2"/>
      </rPr>
      <t xml:space="preserve">Next update: 23/09/25 17:00
</t>
    </r>
    <r>
      <rPr>
        <sz val="10"/>
        <color rgb="FF000000"/>
        <rFont val="Arial"/>
        <family val="2"/>
      </rPr>
      <t xml:space="preserve">16:00 -  Call today at 15:30 to review next steps and status of Incident. 
Stock Integrity reports for 19th, 20th and 21st are available. Validation is currently ongoing for 18th alone due to the SLT issue. </t>
    </r>
    <r>
      <rPr>
        <b/>
        <sz val="10"/>
        <color rgb="FF000000"/>
        <rFont val="Arial"/>
        <family val="2"/>
      </rPr>
      <t xml:space="preserve">Next update: 22/09/25 17:00
</t>
    </r>
    <r>
      <rPr>
        <sz val="10"/>
        <color rgb="FF000000"/>
        <rFont val="Arial"/>
        <family val="2"/>
      </rPr>
      <t xml:space="preserve">Checks for the data for the 18th has confirmed this data is going to be available in the report for the 19th so there has been no data loss. 
20/09 - 
Due to ongoing issue with SAP SLT (INC346), stock integrity reports were not available today. We will update you once the reports are available.
While for Latency issue between FH&amp;B Bradford Kisoft WMS and MQ, Failover was done from Knapp during the maintenance window post which the latency time for the traffic between WMS and MQ reduced from approx. 100 ms to 30 ms. 
Next Steps:
Monitor MQ queues to ensure SLA compliance.
Continue investigation of Primary Kisoft → MQ latency.
Recover MQ secondary node on Monday (22/09).
</t>
    </r>
    <r>
      <rPr>
        <b/>
        <sz val="10"/>
        <color rgb="FF000000"/>
        <rFont val="Arial"/>
        <family val="2"/>
      </rPr>
      <t xml:space="preserve">Next update: 22/09/25 17:00
</t>
    </r>
    <r>
      <rPr>
        <sz val="10"/>
        <color rgb="FF000000"/>
        <rFont val="Arial"/>
        <family val="2"/>
      </rPr>
      <t xml:space="preserve">
19/09 - DC Stock Discrepancy:
After the Stock Realignment carried out by the Finance Business on Tuesday (16/09), the stock integrity variance for both Welham Green and FH&amp;B Bradford are within the threshold (&lt; £500k).  However, we have observed an increase in stock variance of about £760k for Castle Donington from yesterday (from £1.8M to £2.6M) and teams are currently investigating if this was caused by site operations blind receipting the stock in WMS.  SWAT team is in place and working along site CD Operations team to help correct the data discrepancies related to inbound operations.  Situation will be further monitored to observe the Stock Integrity variance at CD. Next update: 17:00, 22/09
18/09 - 
13:28 - DC Stock Discrepancy:
After the Stock Realignment carried out by the Finance Business on Tuesday (16/09), the stock integrity variance for both Welham Green and FH&amp;B Bradford are within the threshold (&lt; £500k).  However, we have observed an increase in stock variance of about £760k for Castle Donington from yesterday (from £1.8M to £2.6M) and teams are currently investigating if this was caused by site operations blind receipting the stock in WMS.  SWAT team is in place and working along site CD Operations team to help correct the data discrepancies related to inbound operations.  Situation will be further monitored to observe the Stock Integrity variance at CD.
 Store Stock Discrepancy:
After realigning the stock variance for 280 stores, the current stock integrity variance has come down from £11M to £500k.  It has also been observed that 26 stores have slightly higher stock variance than expected.  SAP team working with finance business to post corrections in SAP to resolve the stock variance for 26 stores.Next update: 17:00, 19/09
17/09
DC Stock Discrepancy:
We have now agreed that,  aligning the SWAT team to work with DC site operation to prevent the stock discrepancy as the SWAT team will carry out manual workarounds to prevent further discrepancies caused by incorrect inbound operations.
There are no major actions pending in terms of DC stock realignment.
Store Stock Discrepancy:
Majority of store stock re-alignment is complete, however small number of IDOC failures are occurring where CSSM is sending UPC's that do not exist in SAP. It will be investigated outside this incident as they don’t result in huge variance.
 Latency issue between FH&amp;B Bradford Kisoft WMS and MQ – We identified that 2 inbound IPs from WMS Kisoft was missed to be configured in firewall rules ad part of the recovery, and it has been added to the firewall rules now. However, we continue to see the latency, further investigations are under way with network team. 
Considering that most the stock discrepancy with DC and Stores are aligned. We now agreed to reduce the priority to P2 to track the pending Latency issue between FH&amp;B Bradford Kisoft WMS and MQ Next update 17:00 18/09/2025
DC Stock Discrepancy:
Current DC stock discrepancy figure stands at 6 million, a significant improvement compared to 17 million yesterday. However, the number can increase by tomorrow, as DCs are still proceeding with blind receipting.
We are awaiting confirmation on the identification of the SWAT team to work with DC site operations. This SWAT team will carry out manual workarounds to prevent further discrepancies caused by incorrect inbound operations.
Store Stock Discrepancy: 
Stock Re-alignment in Stores
Stock realignment has been completed for most stores and the activity for remaining 40 stores will be performed today
Small number of IDOC failures are occurring where CSSM is sending UPC's that do not exist in SAP
Once we have a clear view of the updated stock figures tomorrow, we will agree on a plan of action to address.Next update 12:00. 18/09/2025
16/09:
10:50 
 DC Stock Discrepancy:
Bradford - £5M
Welham Green - £3.2 M
Castle Donington - £5.5 M
Resources for the SWAT are being indentified and will be shared with DC site operations to carry out any manual workarounds in SAP and WMS incase of any stock data discrepancies due to incorrect inbound operations.
DC stock will be re-aligned in SAP today to align with the WMS stock position.
 Store Stock Discrepancy: 
£11 M absolute Stock Integrity Variance
Stock Re-alignment in Stores
Marble Arch – Stock realignment is complete  and the stock variance is within the threshold for this store.
The stock realignment will be performed for 239 out of 280 stores today and the remaining will be performed tomorrow.
Small number of IDOC failures are occurring where CSSM is sending UPC's that do not exist in SAP
Work with CSSM/ PLM team to correct the master data across the landscape – Yet to Start.  Next update: 11:00, 17/09
15/09 - 
14:50 - DC Stock discrepancy:
Bradford - £3.2M
Welham Green - £2.9 M
Castle Donington - £2.1 M
Stock Integrity variance for the above DCs has not increased in today’s report.  DC colleagues have been communicated not to blind receipt the Purchase Orders which is contributing to the Stock Integrity variance.  Squad team to support avoiding blind receipting and correcting data issues.
FH&amp;B Bradford – Due to the low retail order volume in Bradford, there has been no latency observed in the message processing between KiSoft WMS and Middleware. Additional logging was enabled at Kisoft and we could clearly see a latency in message processing from Kisoft WMS to M&amp;S MQ layer. Network implementation plan as part of the recovery is being retrieved to validate the source of the issue. Additionally, business has provided a go ahead to the D&amp;F live allocation from Blye Yonder, expected volume is 295K 
Welham Green – The config change implemented in Welham Green DC yesterday seems to have worked as we do not see any failures in SAP due to the incorrect message / data (PO type).
Castle Donington - Blind Receipting, PO Redirection, Inbound Delivery, Delivery closure issues are contributing to the Stock Variance, no technical issues identified so far. 
Tech teams have recommended for DC stock realignment for FH&amp;B Bradford, Donington and Welham Green DC's with the BSC Finance team and plan to do it this week.
Store stock discrepancy: £11 M absolute Stock Integrity Variance
Stock Re-alignment in Stores
In agreement with the Finance Business, we are currently targeting 280 stores, each having a stock discrepancy of more than £1000. 
The Stock Re-alignment for these stores will be carried out in 2 batches (based on the priority list from Finance) and is expected to complete by the end of tomorrow i.e. 16/09
Marble Arch - The goods receipts entries in the POSDTA table have been cleared, BSC Finance team is currently carrying out the stock realignment
Small number of IDOC failures are occurring where CSSM is sending UPC's that do not exist in SAP
Work with CSSM/ PLM team to correct the master data across the landscape – Yet to Start
Next update at 18:00
14/09 -
11:00 DC Stock discrepancy:
Bradford - £3.2M
Welham Green - £2.9 M
Castle Donington - £2.1 M
Stock Integrity variance for the above DCs has not increased in today’s report.  DC colleagues have been communicated not to blind receipt the Purchase Orders which is contributing to the Stock Integrity variance.  Squad team to support avoiding blind receipting and correcting data issues.
FH&amp;B Bradford – Due to the low retail order volume in Bradford, there has been no latency observed in the message processing between KiSoft WMS and Middleware.  Technical teams are currently looking at the compute resources and performance reports to see if there is any performance bottleneck.
Welham Green – The config change implemented in Welham Green DC yesterday seems to have worked as we do not see any failures in SAP due to the incorrect message / data (PO type).
Castle Donington - Blind Receipting, PO Redirection, Inbound Delivery, Delivery closure issues are contributing to the Stock Variance, no technical issues identified so far. 
Tech teams have recommended for DC stock realignment for FH&amp;B Bradford, Donington and Welham Green DC's with the BSC Finance team and plan to do it this week. 
Store stock discrepancy:  £11 M absolute Stock Integrity Variance
The business have manually goods receipted in SAP STO's that have not yet been GR'ed in CSSM. As the Stores have been realigned on the 13th back to CSSM, this GR is missing in SAP and cannot be processed as it has already been processed.
Clear the entries in the POSDTA table and liaise with BSC Finance team to carry out the stock realignment for the 5 stores - (Marble Arch, Stratford, Trafford Centre, Longwell Green Bristol &amp; Oxford) and perform rest of the stores during the week – ETA 14:00
Marble Arch has successfully Good Receipted today 🡪 the GR messages from Marble Arch store have successfully processed from CSSM into SAP.
Minor entries are failing, because CSSM is sending UPC's that do not exist in SAP
Work with CSSM/ PLM team to correct the master data across the landscape – Yet to Start.
Next update: 15:00, 15/09.
20:00 - 
DC Stock discrepancy:
We have now established that majority of the Stock Discrepancies are due to operational issues on the back of the data inconsistencies due to our cyber incident. While operational teams have been instructed not to blind receipt, a squad team will be setup to support relevant DC correct data / PO prior to receipting to avoid blind receipting.
FH&amp;B Bradford - Latency issues in message processing between KiSoft WMS and middleware is not contributing to the stock discrepancies, however the technical teams will reconvene tomorrow (15/09, 08:00) to investigate further and fix along with Knapp Development team.
Welham Green - Issues due to incorrect PO type being raised, because of incorrect message/data. A configuration change has been implemented in WMS to overcome this issue, monitoring is in place.
Castle Donington - Blind Receipting, PO Redirection, Inbound Delivery, Delivery closure issues are contributing to the Stock Variance, no technical issues identified so far. Squad team to support avoiding blind receipting and correcting data issues.
Tech teams have recommended for DC stock realignment for FH&amp;B Bradford, Donington and Welham Green DC's with the BSC Finance team and plan to do it this week.
Store stock discrepancy - 3 issues contributing to Store Stock Discrepancy
The business have manually goods receipted in SAP STO's that have not yet been GR'ed in CSSM. As the Stores have been realigned on the 13th back to CSSM, this GR is missing in SAP and cannot be processed as it has already been processed –
Next step 5 stores would be realigned (Marble Arch (in progress), Stratford, Trafford Centre, Longwell Green Bristol &amp; Oxford) and perform rest of the stores during the week.
Prior to the realignment process, a job was meant to run to clear down POS-DTA entries, due to timing issues, this was completed at the wrong time –
Next step is to clear the entries and then realign the stores (Marble Arch completed, rest of the stores to be performed during the week before the realignment)
Minor entries are failing, because CSSM is sending UPC's that do not exist in SAP –
Next step is to work with CSSM/ PLM team to correct the master data across the landscape tomorrow
Current activities:
CSSM team to update, if there are FH&amp;B GR’s (Quantity &amp; Cost Value) to Marble Arch today (until 23:59) by 06:00, 15/09
Next Update: 15/09, 11:00
16:00 - DC stock discrepancy :  We are observing in total 4 potential underlying reasons - 
1) PO blind receipt - Counts obtained, to discuss on the approach and ETA for processing
2) Purchase order redirection - Counts obtained, discussing on the approach and ETA for processing
3) Message sequencing issue caused by latencies issues between WMS Kisoft and MQ. Further investigations are underway by WMS and SAP to size the issues. Network and middleware teams are engaged to investigate the latency message processing issue. - Still being investigated in a separate bridge
4) IBD (New reason identified)- Twice Inbound delivery message is being delivered to DC - Count being identified
Store stock discrepancy : Awaiting updates from Store stock bridge
A sample GR (Good Receipt) message processing from store on 13.09 was investigated and teams observed that it couldn’t be properly processed against Stock In Transit (STO) in SAP. Hypothesis is (1) due to SAP issue with GR, business had to clear the accumulating STO in SAP last week (2) This cleared the STO sooner than the store receiving the stock (3) Consequently systems are unable to process those GR against the STO in SAP.  Further investigations are underway to confirm whether this scenario is the cause of the issue.
Note: Separate working group are spin up to investigate DC stock discrepancy and Store stock discrepancy. Next Update: 14/09/2025@ 17:00
14:00 DC stock discrepancy :  We are observing 3 potential underlying reasons - PO blind receipt , Purchase order redirection and message sequencing issue caused by latencies issues between WMS Kisoft and MQ. Further investigations are underway by WMS and SAP to size the issues. Network and middleware teams are engaged to investigate the latency message processing issue.
Store stock discrepancy : A sample GR (Good Receipt) message processing from store on 13.09 was investigated and teams observed that it couldn’t be properly processed against Stock In Transit (STO) in SAP. Hypothesis is (1) due to SAP issue with GR, business had to clear the accumulating STO in SAP last week (2) This cleared the STO sooner than the store receiving the stock (3) Consequently systems are unable to process those GR against the STO in SAP.  Further investigations are underway to confirm whether this scenario is the cause of the issue. 
Note: Separate working group are spin up to investigate DC stock discrepancy and Store stock discrepancy.  Next Update: 14/09/2025@ 16:00
12:40 - Two separate work streams are spined to investigate what is causing the discrepancy.  
11:20: SAP and FH&amp;B were investigating so far, however, team requires further investigation to be performed with CSSM, Middleware, FH&amp;B engineering. Stock alignment needs to completed by 16/09</t>
    </r>
  </si>
  <si>
    <t xml:space="preserve">SAP &amp; CSSM </t>
  </si>
  <si>
    <t>Simon Gray</t>
  </si>
  <si>
    <t>Business operations issue in clearing stocks from EM site to CD</t>
  </si>
  <si>
    <t>INC328</t>
  </si>
  <si>
    <t xml:space="preserve">Order fulfilment messages not sent to Sherburn DC from OMS. </t>
  </si>
  <si>
    <t>Order Fulfilment (OF) messages are not being received by Sherburn DC which will mean there is a delay in processing orders by the DC. All of the orders that are shipped by Sherburn are for standard delivery which have an expected fulfilment of 5 days. The current back log of Order Fulfilment messages is 1,999 as of 08:15. These are orders that have been placed today but have not yet reached Sherburn DC for fulfilment.
Start of Day (SOD) inventory file was not received on 14/09 &amp; 15/09. This file is usually received by M&amp;S to give the latest stock picture of all inventories on their site. This has the potential risk of items on the website being sold when available stock for it may have possibly run out.
Risk of Despatch messages (for orders that are ready to despatch) not being received by M&amp;S resulting in delayed notification to customers - No impact. (Team performed a reconciliation to confirm all despatch messages for today's delivery date were already received from Sherburn, therefore, the customer miss promise job was triggered this morning at 07:00)</t>
  </si>
  <si>
    <r>
      <rPr>
        <sz val="10"/>
        <color rgb="FF000000"/>
        <rFont val="Aptos Narrow"/>
        <family val="2"/>
        <scheme val="minor"/>
      </rPr>
      <t xml:space="preserve">15/09 17:25 - All messages have been processed successfully. Service is now fully restored.GXO to provide root cause analysis and details on preventative measures they will be taking to avoid a repeat occurrence.
13:15 - Following the application of the temporary license within GXO SFTP service by their vendor Fortra, we have now confirmed the below: 
1. Order fulfilment messages - A  total of 2117 order messages were successfully sent to Sherburn by 11:38
2. ASNs for despatch messages - ASN files were pulled from Sherburn Outbound folder and these have now processed into Order Management system by 11:52
3. SOD file - The SOD file dated 14/09 was deleted and today's file was processed successfully in Order Managment System &amp; Availability services by 13:00.
Root cause: GXO has confirmed an issue with the existing license and further investigations are underway with their vendor Fortra.
10:41 - At 10:20, GXO applied a temporary license provided by their vendor, Fortra, which restored the SFTP service. Connectivity between M&amp;S and GXO has resumed, and we have validated that BAU order fulfillment messages are now transmitting as expected.
Next Actions:
	1.	Failed Messages – 2,117 failed order fulfillment messages will be retriggered from M&amp;S to GXO in batches, with an expected completion time of 12:00.
	2.	Dispatch Messages (ASNs) – M&amp;S Enterprise Middleware team will confirm once all ASNs for dispatch messages from Sherburn (covering yesterday and today) have been processed into OMS.
	3.	Start of Day (SOD) File for inventory – The SOD file dated 14/09 will be removed. Only the 15/09 SOD file will be processed into the Availability Service.
	4.	License Issue – GXO will continue working with Fortra to provide an update on the root cause of the license issue. The temporary license remains valid until the permanent license problem is resolved.
Next update at 16:00, 15/09.
10:12 - From the 09:30call, we confirmed with GXO that vendor Fortra has now been engaged, with a session scheduled between GXO engineers and Fortra at 10:00. No further actions are required from the M&amp;S side to resolve the issue.
Two stakeholders from GXO have been identified to provide us with updates following their discussions with Fortra. This will also be noted as a key point for the PIR, specifically around how we manage the GXO relationship and improve engagement with Fortra to help reduce MTTR in future incidents.
To mitigate any further potential impact to order missing their delivery lead time, the proposition for standard delivery has been changed from 3-5 days to 5-7 days at Sherburn.
Sherburn DC was also moved down in priority of sourcing logic on OMS yesterday evening. This will lessen the likelihood of customers placing orders against this distribution centre on the website.
Next update at 11:00, 15/09.
08:20 - GXO is still awaiting representation from Fortra, whose working hours starts at 09:00. Our call is rescheduled to 09:30 and relevant escalations are being made within GXO and M&amp;S. 
</t>
    </r>
    <r>
      <rPr>
        <b/>
        <sz val="10"/>
        <color rgb="FF000000"/>
        <rFont val="Aptos Narrow"/>
        <family val="2"/>
        <scheme val="minor"/>
      </rPr>
      <t xml:space="preserve">Next update at 10:30, 15/09.
</t>
    </r>
    <r>
      <rPr>
        <sz val="10"/>
        <color rgb="FF000000"/>
        <rFont val="Aptos Narrow"/>
        <family val="2"/>
        <scheme val="minor"/>
      </rPr>
      <t xml:space="preserve">
14/09
23:38 - Several remedial actions were attempted, including manual license refresh, license deactivation/reactivation, activation of a new license via the Fortra portal, and reverting the patch. None of these restored service. A P1 case was subsequently raised with Fortra. However, due to Fortra’s operating hours (09:00–17:00), GXO was unable to engage them for immediate support.
A follow-up call is scheduled for 08:00 tomorrow. GXO has been tasked with continuing analysis overnight, preparing new observations for the session, and ensuring internal escalations are in place to engage Fortra promptly at the start of business hours. </t>
    </r>
    <r>
      <rPr>
        <b/>
        <sz val="10"/>
        <color rgb="FF000000"/>
        <rFont val="Aptos Narrow"/>
        <family val="2"/>
        <scheme val="minor"/>
      </rPr>
      <t xml:space="preserve">Next update at 09:30, 15/09
</t>
    </r>
    <r>
      <rPr>
        <sz val="10"/>
        <color rgb="FF000000"/>
        <rFont val="Aptos Narrow"/>
        <family val="2"/>
        <scheme val="minor"/>
      </rPr>
      <t>22:48 - The patch reversion had not worked, we are trying to engage Fortra (GXO's license vendor) to assist us with the Licensing error. No ETA yet.
Next update at 23:30.
22:34 - GXO vendor tried updating  a temporary license, this has not worked. We have now pushed GXO to revert their patch deployed this morning - ETA: 30 mins. In addition, we are raising a case with Fortra (license vendor) to get further assistance. Both actions will be done in parallel. 
Next update at 23:00.
21:49 - We have now identified that when the GXO MFT server rebooted following the patching overnight, the underlying license did not get applied as expected and required a manual refresh. We are now trying to manually update license and restart the service to check if this works. Note: The license did not expire, it might require a manual refresh. Once services are restored, we will check their patching process/implementation plan/post checks etc
21:11 - We have the developers now who built the solution between M&amp;S and GXO - further triage is in progress. Next update at 21:45.
20:08 - GXO Windows engineer had rebooted the problematic server, however, the issue continue to persist. We are investigating the server logs to identify the issue.
To clarify, this issue has been confirmed to be outside the M&amp;S scope and is related to GXO infrastructure. Next update at 21:00
19:17 - Following investigations by both the M&amp;S and GXO network teams, we have concluded that the IP address used by M&amp;S to send order messages to Sherburn is routing to an internal GXO IP address.
Monitoring via GXO SolarWinds has indicated that the Windows server hosting the SFTP service behind this IP may have been impacted by the overnight maintenance activity.
The GXO IT Delivery Manager is currently working to source a Wintel Engineer to investigate the issue further. The initial hypothesis is that the SFTP service may be hung and could require a restart. We are currently awaiting the Wintel Engineer to join the MIM call.
To clarify, this issue has been confirmed to be outside the M&amp;S scope and is related to GXO infrastructure. Next update at 20:15
18:38 - Following the investigation by the M&amp;S Network team, we have now confirmed that Enterprise Middleware successfully transmitted order messages to Sherburn until 00:01. This has been validated through successful traffic hits to the GXO IP address.
Our network logs indicate that the GXO IP address may have changed as a result of the maintenance activity carried out overnight by GXO at Sherburn—this timing appears to be more than coincidental.
The GXO IT Service Delivery Manager is currently on the MIM call and is arranging for a Level 3 network resource to investigate and identify the source of the IP address change. Next update at 19:30.
17:42 - Flow - OMS -&gt; Enterprise Middleware -&gt;Sherburn DC. 
Since 00:41, OMS have been able to send the order messages to Enterprise Middleware, however, the order message transfer to Sherburn is via SFTP which is currently failing. We have network team trying to trace the issue to identify the source of the failure.
Note: Every 4th Sunday of the month, Sherburn undergoes a maintenance between 00:01 and 04:00.  Next update at 19:00
17:28 - There was a maintenance activity at Sherburn DC (managed by third party vendor - GXO), since the completion of the activity, no order fulfilment messages have been sent to Sherburn DC. We are opening a MIM bridge with Enterprise Middleware, OMS &amp; Network teams.</t>
    </r>
  </si>
  <si>
    <t>GXO</t>
  </si>
  <si>
    <t>GXO network teams identified that the underlying server hosting the SFTP service was unreachable. Log reviews confirmed a licensing issue preventing the SFTP service from functioning correctly, likely triggered by the patching or server reboot</t>
  </si>
  <si>
    <t>INC329</t>
  </si>
  <si>
    <t>INC000090916887</t>
  </si>
  <si>
    <t xml:space="preserve">Performance issues with Pack screens and carrier label printing issues at Donington </t>
  </si>
  <si>
    <t>Packing operations was impacted between 20:08 and 21:22 resulting in a capability loss of 14k singles equating to a revenue loss of £8400. In addition, 189 orders have missed customer promised delivery date. Site wide revenue loss is yet to be determined.</t>
  </si>
  <si>
    <r>
      <t xml:space="preserve">
18/09 - Confirmed with Pragadeesh on no further issues or concerns. Incident can be resolved as it is over 12 hours the site is running the operations without any concern.
17/09- 
19:33- Initial findings shows the DB Session counts are well under control. DC Operations looks normal. It seems that the change CHG2988 has caused the issue. We are going to monitor the issue for another 30 minutes, till tomorrow morning (previously after the DB service restart issue persisted and popped up within few minutes) it's been already 15 minutes now. Things are looking good from the DC. </t>
    </r>
    <r>
      <rPr>
        <b/>
        <sz val="10"/>
        <color rgb="FF000000"/>
        <rFont val="Aptos Narrow"/>
        <family val="2"/>
        <scheme val="minor"/>
      </rPr>
      <t xml:space="preserve">Next Update 10 AM 18/09
</t>
    </r>
    <r>
      <rPr>
        <sz val="10"/>
        <color rgb="FF000000"/>
        <rFont val="Aptos Narrow"/>
        <family val="2"/>
        <scheme val="minor"/>
      </rPr>
      <t xml:space="preserve">
19:20 - Interim Update: Change was reverted successfully; DB Node is shifted. WMS application is brought back online. All the Middleware service and Control M jobs are released. We are in a process of validation at the DC.  
18:30 - Further investigation revealed that, there was a Mule Service change (CHG2988) implemented for OJDBC Driver Upgrade to improve the GC performance earlier this morning before 7 AM in Donington DB server(hlxp0dc039). Change is being reverted back, however it's not evident that the change is causing the issue hence reverting the change is just to ensure we check all the boxes and may not fix the issue. DB team is also shifting the DB node from node 2 to node 1 which was swapped during the previous DB service restart. Next Update: at 20:30
The DB Service restart was completed. WMS Application and other Middleware and Mule services are brought back up. Control M jobs have been started. WCS messages are flowing from WMS. Label Printing and Pack bench validation is still on going. Next update at 18:30
15:48 - The issue continues to exist - therefore, an aggressive decision has been taken to restart the database services which is currently in progress (started at 15:45). The activity will complete by 17:00. 
Next update at 17:30
14:20 - Following the recurrence of the issue, services have remained stable since 13:30. However, from the Dynatrace logs indicating spikes in connections, we were able to correlate it to the backend Java process serving the pack screens. Therefore, a decision was taken to failover the pack screen backend connections to point to Node JS from Java - the change was completed at 14:10 and we are monitoring the propagation of the change to the pack screens. Next action is to monitor the performance and monitor any equivalent Dynatrace dashboard to monitor the connection pools. Next update at 15:30.
13:35 - The issue has recurred from 13:09 and has remained stable since 13:30 aligned to the reports we are receiving from Donington and the Dynatrace logs. We have identified the problematic SQL query causing a contention on the WMS database resulting in performance issues on the pack screens. Extensive investigation is being performed to fix the problematic query by updating the database execution plan, terminating the query after assessing the functions served by the query.
Next update at 14:30
13:00 - Following the restart of the WMS application service, the pack screens and carrier label printing have remained stable since 12:34. Investigations have revealed a spike in database sessions during the issue generating from a particular SQL id, actions have been agreed to perform a detailed analysis of the SQL id and its underlying execution to conclude on the root cause. We are catching up at 15:00 to discuss further on the root cause. The incident is currently under monitoring. 
Next update at 16:00
12:30 - Following the restart of the pack screen Azure services, the issue continues to exist. We are extensively looking at Database logs and a potential network latency to identify the source of the issue. We have two options - 1. Restart the WMS application service 2. Restart the WMS database servers. Both actions require an outage from the site. We are trying to rationalise the current hypothesis before we take any aggressive action. It has been agreed with the site to restart the WMS application service by 12:15. Next update at 13:00.
12:00 - Following the restart of the pack screen Azure services, the issue continues to exist. We are extensively looking at Database logs and a potential network latency to identify the source of the issue. We have two options - 1. Restart the WMS application service 2. Restart the WMS database servers. Both actions require an outage from the site. We are trying to rationalise the current hypothesis before we take any aggressive action. It has been agreed with the site to restart the WMS application service by 12:15.
 Next update at 13:00.
11:15 - We have validated the logs across WMS application, WMS database and Mule layers and no issues have been identified. WMS Platform team have identified some unhealthy instances of Azure services responsible for pack screens only and this has been restarted as of 11:14. Validations underway with Donington Ops. Next update at 12:15
10:35 - Initial log analysis is pointing to one colleague trying to access multiple pack screens which could be contributing to the issue. We are investigating this further to identify the source of the issue.
Note: MULE change on the OMS/Sorted Service was made this morning related to Garbage collection - this has been confirmed to be not related.
Next update at 11:30
10:20 - Issue recurred since 09:10, WMS team performed checks and no issues observed. We are opening a MIM bridge to get the issue checked. Site agreed a P2. Next update at 11:00
15/09 
09:20 - Services have remained stable overnight. Mule team continues to investigate the root cause. 
 Primary root cause: One of the Mule Services responsible for Demand Notification/Order Fulfilment &amp; Sorted flows were not executing as expected which caused the issue. Further RCA underway.
08:55 - Services have remained stable overnight. Mule team continues to investigate the root cause. We are awaiting a quantified business impact from the site especially on the capability loss.
14/09
22:15 - MULE team identified a service not running on their end (which impacted DN/OF and Sorted flows) and the affected service was restarted to restore services.WMS and Mule team closely monitoring their systems &amp; services. Mule team to investigate on the root cause. 
</t>
    </r>
    <r>
      <rPr>
        <u/>
        <sz val="10"/>
        <color rgb="FF000000"/>
        <rFont val="Aptos Narrow"/>
        <family val="2"/>
        <scheme val="minor"/>
      </rPr>
      <t xml:space="preserve">Other Actions for PIR:
</t>
    </r>
    <r>
      <rPr>
        <sz val="10"/>
        <color rgb="FF000000"/>
        <rFont val="Aptos Narrow"/>
        <family val="2"/>
        <scheme val="minor"/>
      </rPr>
      <t>1) Although emails alerts are in place for message pile-ups from Mule and WMS, the issue was picked up only after DC Operations reported a problem.
2) Email alert frequency and monitoring of email alerts
3) Re-enable systemic monitoring (ITM)
Next update at 15/09, 09:00.
21:00 - MIM being opened with Mule &amp; WMS team to be engaged to investigate</t>
    </r>
  </si>
  <si>
    <t>Mule/ WMS</t>
  </si>
  <si>
    <t>Pragadeesh Vasan</t>
  </si>
  <si>
    <t>Original Pack Bench slowness tagged to Mule Change for GC; Second issue of site wide issue attributed to incorrect movement of DB to Node 1 (unstable)</t>
  </si>
  <si>
    <t>INC334</t>
  </si>
  <si>
    <t>Customers are facing "Sorry, something went wrong" error message while accessing basket in Desktop</t>
  </si>
  <si>
    <t>Customers are unable to view basket page or continue to checkout and poor customer experience.. Approx 500 errors are coming per minute at the moment. Mobile and Tablet apps are running fine.</t>
  </si>
  <si>
    <r>
      <rPr>
        <sz val="10"/>
        <color rgb="FF000000"/>
        <rFont val="Aptos Narrow"/>
        <family val="2"/>
        <scheme val="minor"/>
      </rPr>
      <t xml:space="preserve">16/09 - 10:40 - Application team cleared the cache due to errors related to application caching, post which we see reduced error rates and restoring services for customers to add or retrieve their baskets at 15/09 17:17. Since the cache clear restored the service, the product team chose not to roll back the change. Team will investigate the root cause and implement preventive actions. Confirmed with Priyabrata on incident closure. 
17:30 - The Product Team have confirmed that a change (CHG3126) was made on their end earlier to help with the new federation schema for Mesh decommissioning PR-https://github.com/DigitalInnovation/product/pull/684. In order to fix the issue, Radis cache flushed by the Product team in both the production regions, to use the new updated changes which is effective for any requests. Immediately after the cache flush, the errors have come down to zero. Keeping the Incident Under Monitoring for tonight. </t>
    </r>
    <r>
      <rPr>
        <b/>
        <sz val="10"/>
        <color rgb="FF000000"/>
        <rFont val="Aptos Narrow"/>
        <family val="2"/>
        <scheme val="minor"/>
      </rPr>
      <t xml:space="preserve">Next Update: 16/09/2025 @12:00
</t>
    </r>
    <r>
      <rPr>
        <sz val="10"/>
        <color rgb="FF000000"/>
        <rFont val="Aptos Narrow"/>
        <family val="2"/>
        <scheme val="minor"/>
      </rPr>
      <t>16:22 -  MIM3 bridge has been open to investigate the issue further.</t>
    </r>
  </si>
  <si>
    <t>Product Domain</t>
  </si>
  <si>
    <t>The Product Team have confirmed that a change (CHG3126) was made on their end earlier to help with the new federation schema for Mesh decommissioning PR-https://github.com/Digital Innovation/product/pull/684. In order to fix the issue, Radis cache flushed by the Product team in both the production regions, to use the new updated changes which is effective for any requests. Immediately after the cache flush, the errors have come down to zero</t>
  </si>
  <si>
    <t>INC335</t>
  </si>
  <si>
    <t xml:space="preserve">INC000090915947 </t>
  </si>
  <si>
    <t>All apple green franchise stores sales messages flow to downstream has an issue impacting the deliveries in to store.</t>
  </si>
  <si>
    <t xml:space="preserve">Store impacts - Relex Deliveries are very less than expected for the apple green stores due to inaccurate stock files and the actual sales data doesnt reflect on the honeywells in SST application. Additionally, those stores also reported issues in deliveries not available on honeywells to receipt them. 
Sales data for 29 Apple Green stores have not reached CSSM resulting in inaccurate stock position to </t>
  </si>
  <si>
    <r>
      <t xml:space="preserve">19/09: 19/09: 19:19- The sales/deliveries are flowing fine. The file transfer issue is not resurfaced so far after the capacity uplift, and the sales/deliveries flows are working as expected. The counts have been actioned by Apple Green and business will closely monitor the improvement on availability increase in the coming days. It's Resolved now.
18/09- Got update from Valli, No more issues observed...no deliveries impacted. Asked more details to AG team. If no response we will resolve this tomorrow. Next Update </t>
    </r>
    <r>
      <rPr>
        <b/>
        <sz val="10"/>
        <color rgb="FF000000"/>
        <rFont val="Aptos Narrow"/>
        <family val="2"/>
        <scheme val="minor"/>
      </rPr>
      <t xml:space="preserve">19/09 17:00 
17/09
</t>
    </r>
    <r>
      <rPr>
        <sz val="10"/>
        <color rgb="FF000000"/>
        <rFont val="Aptos Narrow"/>
        <family val="2"/>
        <scheme val="minor"/>
      </rPr>
      <t xml:space="preserve">17:15 - 1) The sales/deliveries are flowing fine, and integration team is continuing to monitor the flows.
2) Mail alerting is configured to notify integration team for both sales/deliveries and FITS team for ASNs/deliveries if the file transfer issue reoccurs. Recovery process is agreed with Apple Green team to retrigger the file if the issue happens next time.
3) Apple Green team is agreed to start with 1 store for the stock counts and then full counts for the remaining to align the store stock. </t>
    </r>
    <r>
      <rPr>
        <b/>
        <sz val="10"/>
        <color rgb="FF000000"/>
        <rFont val="Aptos Narrow"/>
        <family val="2"/>
        <scheme val="minor"/>
      </rPr>
      <t xml:space="preserve">Next Update – 17:00, 18th Sep
</t>
    </r>
    <r>
      <rPr>
        <sz val="10"/>
        <color rgb="FF000000"/>
        <rFont val="Aptos Narrow"/>
        <family val="2"/>
        <scheme val="minor"/>
      </rPr>
      <t>16/09
16:35 - Following the capacity uplift, the sales/deliveries are flowing without any issues and integration team is continuing to monitor. For the data catchup, we have agreed with business to perform the store stock counts for the impacted Apple Green (27) and Welcome Break (2) on the stock corruption recovery. Next update at 12:00, 17/09
13:24 -
Following the recovery activities (VM CPU uplift) completed this morning, no issues have been observed in the flows at 10:20 AM, 11:20 AM, and 12:20 PM across both Deliveries and Sales.
Regarding the 14K failed MQ messages from 4th September, we’ve identified a mismatch between the failed message logs and the backup message counts. Due to this inconsistency, we are currently unable to reprocess these messages.
Additionally, from 11th September onwards, there are no backup files available for republishing. As a result, these failed messages cannot be receipted. To address the data gap, we are engaging with the Business team to initiate stock counts at the stores to ensure inventory accuracy - awaiting a feedback from business by 14:30
Meanwhile, the Integration team has configured alerting emails for such failure scenarios to improve visibility and response time.
For future occurrences, once failures are detected, the Integration team will promptly notify the Foods team &amp; MIM  to initiate reprocessing of failed messages.
It’s also worth noting that from 11th September, delivery messages sent downstream were observed to be 0KB files. Since these cannot be reprocessed either, the issue will be resolved through the stock correction process.
Next update at 16:00
10:15 - Cloud Ops have increased the CPU for the problematic VM from 8 CPU to 16CPU and the CPU metric looks to be stable. The integration team is currently monitoring the issue to confirm the service restoration due to the intermittent nature of the issue. actions have been agreed to explore alerting options to highlight the issue if it recurs. In addition, we are awaiting an update from the Integration team on an approach to republish the impacted 14k sales between 4th Aug and 11th Sep. Parallelly, we are awaiting an update from Microsoft on the root cause with an expectation to receive an initial update by 10am on 17th Sep. The overall incident will be monitored until EOD 19/09.
09:30 - Issues have been identified with one of the middleware VMs (Virtual Machines) experiencing intermittent issues in transferring sales &amp; delivery data from Apple Green (27) and Welcome Break (2) stores to the downstream systems - Relex, CSSM &amp; BEAM. A Sev A Microsoft case has been raised to triage the issue further.
Based on the initial investigations, we have agreed with business stakeholders to increase capacity of the middleware VM from 8 to 16 CPU followed by a restart of the VM. The activity will take 30 mins ETA: 10:00, once completed, the status will be validated. Next update at 10:15.
09:00 - Incident upgraded to P1
 Stores (3rd party) -&gt; Integration VMs-&gt; Downstream systems - Relex, CSSM, BEAM
One of the Integration VMs is encountering an error indicating an issue in placing the file on the mount path due to a file limit error causing the issue. The VM is actually placing a 0kb file in the mount path resulting in sending a 0kb file to the downstream systems. Last week, the ulimit was increased which briefly resolve the issue. On 11/09, the VM was rebooted, which triggered the above issue again.
A sev1 case has been raised with Microsoft with the relevant details - awaiting MS engineer on the call.
15/09: 21:00 -
On 9th midday, Integration Services support reported a  additional parameter present in the config file, which held the storage account config details. That parameter was removed and they reported files flowing correctly. They were going to monitor. An hour later, IS team reported the issue wasn't fixed and were engaging Cloud Ops team. Late afternoon on 9th, Cloud Ops team raised an incident with Microsoft who were checking. Later at night, IS reported suspecting that the issue might be because of too many files processing at a time.So, they increased file limit value from default value and Microsoft team suggested performing VM reboot to bring this change into effect. IS advised they had not faced 0 kb file transfer issue by Wed 10th 16:48. 
Root cause: SFTP connectivity issues between AG and M&amp;S where the deliveries are being sent across Integration team reported finding an issue when transferring the sales file to downstreams within M&amp;S applications on 8th 22:52. 
This is the incident number TrackingID#2509090030008861 raised with Microsoft for inbound feed issue from Applegreen. 
Since the Stores are closed now, as agreed with Valli, kept the Priority as P3. Valli will reassess the impact at the Applgreen Strore tomorrow in the morning and if needed my upgrade the Prioroty to P2. Next Update 16/09 17:00</t>
    </r>
  </si>
  <si>
    <t>Valliammai R</t>
  </si>
  <si>
    <t>Cloud Ops have increased the CPU for the problematic VM from 8 CPU to 16CPU and the CPU metric looks to be stable</t>
  </si>
  <si>
    <t>INC337</t>
  </si>
  <si>
    <t>INC000090915649</t>
  </si>
  <si>
    <t>PLM application inaccessible to FH&amp;B and supplier colleagues</t>
  </si>
  <si>
    <t>Colleagues were unable to access the application to create and manage product via PLM (Product lifecycle manangement)</t>
  </si>
  <si>
    <r>
      <rPr>
        <sz val="10"/>
        <color rgb="FF000000"/>
        <rFont val="Aptos Narrow"/>
        <family val="2"/>
        <scheme val="minor"/>
      </rPr>
      <t xml:space="preserve">17/09 09:28 PLM application is stable till now and no new issues reported. Nightly interface run is successful as well. Following up on the root cause on the outstanding actions on the root cause on why there were connection issues
18:00 PLM application became accessible without performance issues from 16:30 following a restart. The PLM application was restarted to mitigate the impact immediately. 
RCA:  PLM received 16 files instead of the usual 4 because SAP PO sent duplicate messages. These duplicates were caused by connection issues between SAP CPI and MQ, which led to message timeouts between 18:30 and 19:00, prompting SAP PO to retry sending the same data.There is no impact due to this as the I0022 interface is full refresh and the data haven't changed since the interface was enabled a week back
Next Steps:
SAP PO to collaborate with Middleware Admin to investigate the connectivity issue.
SAP PO to monitor tonight’s interface run and notify downstream systems if anomalies occur.
PLM to confirm file accuracy with the source system before processing to maintain data integrity in case of any issues with the file. </t>
    </r>
    <r>
      <rPr>
        <b/>
        <sz val="10"/>
        <color rgb="FF000000"/>
        <rFont val="Aptos Narrow"/>
        <family val="2"/>
        <scheme val="minor"/>
      </rPr>
      <t xml:space="preserve">Next Update: 10:00, 17/09
</t>
    </r>
    <r>
      <rPr>
        <sz val="10"/>
        <color rgb="FF000000"/>
        <rFont val="Aptos Narrow"/>
        <family val="2"/>
        <scheme val="minor"/>
      </rPr>
      <t>16:30 The PLM application restart is complete, colleagues have confirmed that the PLM application accessible and there is no slowness observed.  The slowness was there from the morning of the day however its performance degraded eventually. Next update: 18:00,16/09
We have engaged SAP to investigate further on what triggered the higher number of files than usual to PLM from SAP master data.
15:58 PLM users are unable to access the application intermitently again from 15:00 as they have received a huge number files than usual from SAP. To recover the PLM application, they are performing application restart between 16:00 and 16:30 after clearing the queu . Meanwhile, we have engaged SAP to investigate further. Next update: 18:00,16/09
15:40:  Colleagues started reporting issues again from 15:00, PTC has observed that the 
11:23 - No further issues observed as we await a RCA from PTC - 5  business days.
09:55 PTC has identified  an user triggered job was taking huge memory resulting in the issue. the job was cancelled to restore the services.The colleagues can access the application now. We are awaiting a detailed RCA from vendor PTC. Next update at 11:00</t>
    </r>
  </si>
  <si>
    <t>PTC (vendor)</t>
  </si>
  <si>
    <t>George Loizou</t>
  </si>
  <si>
    <t>Due to a connection issue between SAP BTP and Cloud connector, multiple call outs sent for files, causing duplication of data</t>
  </si>
  <si>
    <t>INC339</t>
  </si>
  <si>
    <t>INC000090016605</t>
  </si>
  <si>
    <t>Stores are reporting issues with online returns and payment on online orders</t>
  </si>
  <si>
    <t>Stores &amp; Online</t>
  </si>
  <si>
    <t>As of now , 5 stores have reported the issue that customers are unable to pay or get a refund for their online orders. Backend stats have shown that circa 206 orders are awaiting payment in Order Management System.</t>
  </si>
  <si>
    <t xml:space="preserve">17/09 - Investigations revealed that there was a pile up of 100k messages within the Central integration gateway as the underlying channel went into "retry state" at 13:32. Following this, the channel restarted by 13:35 but failed to establish connectivity with the Cloud gateway until 14:52. At 14:52, through the automated script, the channel restarted again and established successful connection with the cloud gateway to resume the message processing. Services have remained stable at the stores with no further issues reported since.
Initial Root cause: Due to resource allocation issues within the cloud queue manager, the on-prem gateway channel was not able to communicate to the receiver channel from cloud side. Further investigation continues.
Action: 
1. Tweak the integration script to restart the integration channel every 15 mins in the event of an issue.- Completed
2. Reinstate message pile up alerts to proactively identify issues - Being discussed.
16/09 - 
16:24 - No further issues reported since 14:52. Initial log analysis revealed that the central integration channel went into "retry state" at 13:32 and the channel restarted itself at 13:35, however, errors were observed while transferring the messages to the Enterprise middleware gateway which is currently under investigation. At 14:52, through the automated script, the channel restarted again following which the errors had stopped appearing. Root cause is under investigation. The incident will be kept under monitoring until tomorrow morning.
Note: The automated script within Integration layer was tactically configured to run every hour, this is now being modified to 15 mins to avoid business impact.
Next update at 12:00, 17/09.
16:00 -  Services remained stable since14:52. We have identified 15 orders with valid payments during the issue, and the OMS team will validate the order fulfilment as BAU process (given the minimal count of orders). From the logs, it was identified that the central integration channel went into a "retry state" at 13:32 and the channel restarted at 13:35, however, further errors were identified while sending the logs to the Enterprise Middleware gateway. Integration &amp; EM team continue to triage the logs to identify the source of the issue.  Next update at 17:00
15:16 - One of the integration channel went into a retry queue and the channel restarted through an automated script which resolve the issue at 14:52. Service is back to BAU since 15:06. There is some ambiguity around the issue start time which is currently being validated through the technical logs.
Next Update: 16/09/2025 16:00hr
14:43 : The issue seems to have recovered 5 mins ago, we are awaiting details on root cause &amp; Resolution. </t>
  </si>
  <si>
    <t>Integration</t>
  </si>
  <si>
    <t>Laura whittle</t>
  </si>
  <si>
    <t>Pileup of messages due to connectivity issues</t>
  </si>
  <si>
    <t>INC340</t>
  </si>
  <si>
    <t>INC000090916816</t>
  </si>
  <si>
    <t>All the stores tills went offline impacting store operations.</t>
  </si>
  <si>
    <t>All stores Tills , C&amp;C , honeywells went offline to network impacting trade across all the stores.</t>
  </si>
  <si>
    <t>18:15: 
During a security audit by SOC, the primary store domain controller (in Stockley Park) serving live traffic was isolated by Crowdstrike due to a suspicious activity which resulted in all the stores going offline. 
The Network was not aware of the SOC audit and DNS Server isolation. They just identified the Domain Controller is unresponsive. The Network team immediately rerouted the traffic to Swindon to restore services. 
Post recovery, later MIM call when Network team was investigating the reason behind theissue, AD team informed the DNS Server was offline due to the fact that SOC team have identified some security issues and the made it isolated from CrowdStrike. Ideally the services were supposed to be failed over to Swindon automatically, however, currently the F5 Load Balancer are not in Active-Active mode for automatic failover.</t>
  </si>
  <si>
    <t xml:space="preserve">Network </t>
  </si>
  <si>
    <t>CHG3280</t>
  </si>
  <si>
    <t>The Network team identified a problematic Server which was added through a recent change. The Network team has rerouted the traffic to Swindon to restore services. AD team informed the DNS Server was offline due to the fact that SOC team have identified some security issues and the made it isolated from CrowdStrike. Ideally the services were supposed to fail over to Swindon automatically, however, currently the F5 Load Balancer is not in Active-Active mode for automatic failover.</t>
  </si>
  <si>
    <t>INC341</t>
  </si>
  <si>
    <t>In stores, customer sparks offers are intermittently failing</t>
  </si>
  <si>
    <t>Loyalty</t>
  </si>
  <si>
    <t>Colleagues will intermittently be faced with Sparks offline errors on the checkouts when a customer presents their Sparks card for offer redemption
• Online Sparks offers are not impacted
• Issue is intermittent &amp; so not all Spark transactions are dropping to offline
• If Sparks is offline at the till point, the Offline process should kick in- what this means is that any live Sparks offer, with a trigger UPC in the customers basket will receive the discount as the promotion dictates. In instances where this statement MIGHT NOT be true the colleagues are being told to price correct, but these should be the exception.</t>
  </si>
  <si>
    <r>
      <t xml:space="preserve">18/09 - 
17:15 - Sparks offer redemption at the checkouts has remained successful since this morning. The incident is therefore being marked as resolved. A separate incident (P3) will be raised for the underlying investigation into the problematic Swindon configuration and it will not be brought back in until the issues have been resolved.
11:00- All the Sparks store traffic has been directed to Stockley by removing Swindon configuration completely by 10:38. Initial feedback from Networks and POS teams has confirmed service is now restored. It has been agreed with the Network team to work on investigating/enabling resiliency with Swindon. Teams are monitoring the offline transactions until End of Day.Next update at </t>
    </r>
    <r>
      <rPr>
        <b/>
        <sz val="10"/>
        <color rgb="FF000000"/>
        <rFont val="Arial"/>
        <family val="2"/>
      </rPr>
      <t xml:space="preserve">18/09/2025 16:30:00
</t>
    </r>
    <r>
      <rPr>
        <sz val="10"/>
        <color rgb="FF000000"/>
        <rFont val="Arial"/>
        <family val="2"/>
      </rPr>
      <t xml:space="preserve">10:00 - Investigations revealed that the Sparks store traffic is directed to both Stockley and Swindon. Traffic routed through Stockley is completing 100% of the time, traffic routing through Swindon is experiencing intermittent failures. The Networks Team are working on directing all traffic to Stockley to mitigate impact and restore service. </t>
    </r>
    <r>
      <rPr>
        <b/>
        <sz val="10"/>
        <color rgb="FF000000"/>
        <rFont val="Arial"/>
        <family val="2"/>
      </rPr>
      <t xml:space="preserve">Next Update: 18/09/2025 11:30:00
</t>
    </r>
    <r>
      <rPr>
        <sz val="10"/>
        <color rgb="FF000000"/>
        <rFont val="Arial"/>
        <family val="2"/>
      </rPr>
      <t>09:00 - Laura Whittle confirmed that there has been a number of failures across some stores seen this morning, Hence upgrading to P2 and required store comms are being sent. Investigations into these failures are ongoing with required teams and could be an overrun from yesterday. Checks being done.
08:00 - Laura Whittle confirmed that there has been a number of failures across some stores seen this morning, Hence upgrading to P2 and required store comms are being sent. Investigations into these failures are ongoing with required teams and could be an overrun from yesterday. Checks being done.
17/09-
16:01- Detailed investigation across multiple stores revealed that most of the transactions are going to sparks offline mode. Tonight F5 failback to the Stockley will address this issue. However to address the failures with Swindon route, a call will be scheduled tomorrow along with the Firewall team by 11 AM.
Next Update: 18/09/2025 16:00:00
13:00 - Upon investigation, we believe the latency issue may have originated prior to the F5 DNS VIP failover to Swindon. To eliminate the possibility that proxy traffic via Stockley and DNS routing via Swindon are contributing to the latency, We have agreed to initiate a failover of proxy traffic for test stores to Swindon after 14:00 BST. This action will help determine whether the latency is alleviated. Next update at 16:00
10:42 - Laura reported that the team has observed that checkout dashboards has a "lower success rate from our Loyalty API"</t>
    </r>
  </si>
  <si>
    <t xml:space="preserve">most of the transactions are going to sparks offline mode. Tonight's F5 Load Balancer failback change to the Stockley will address this issue. </t>
  </si>
  <si>
    <t>INC342</t>
  </si>
  <si>
    <t>Contactless Payments unavailable in stores</t>
  </si>
  <si>
    <t xml:space="preserve">Contactless Payments were being declined in stores between 17:32 and 17:39 resulting in poor customer experience.
</t>
  </si>
  <si>
    <t>Contactless Payments unavailable in Stores from 17:32 until 17:39 (7 minutes), this was due to a CPU spike on the Fortigate firewall, the IPS engine was restarted on the Fortigate Firewall to restore the services.  
Network team working with Fortinet to understand the root cause and next steps.</t>
  </si>
  <si>
    <t>Contactless payments were unavailable in stores from 17:32–17:39 (7 mins) due to a CPU spike on the FortiGate firewall. Services restored after IPS engine restart. The network team is working with Fortinet on root cause and next steps.</t>
  </si>
  <si>
    <t>INC345</t>
  </si>
  <si>
    <t>INC000090919245</t>
  </si>
  <si>
    <t xml:space="preserve">Food VMS are not accessible </t>
  </si>
  <si>
    <t>SRD to ECS Planogram Kafka message flow has failed. Food team need access to the VM in order to monitor the downstream jobs and messages.</t>
  </si>
  <si>
    <t xml:space="preserve">22:48: VMs were restarted. We have held the job now in ECS end. Cloud ops team have resolved the issue - VM's are up  now. Messages are flowing to Ecs now. No delays and no business impacts. Resolved the issue.
22:30: Opened the MIM bridge, identified it’s a cloud VM, reach out to the offshore on call person from Cloud Operations/Exponece Team. He is troubleshooting the issue. More updates to come at 23:30 </t>
  </si>
  <si>
    <t>Foods VM not accesble due to incorrectly being included in the daily restart list. This has now been removed</t>
  </si>
  <si>
    <t>INC346</t>
  </si>
  <si>
    <t>SAP System Landscape Transformation (SLT) Slowness Impacting Stock Integrity Reports for DCs and Stores</t>
  </si>
  <si>
    <t>Stock integrity report for DC and stores would be impacted due to the slowness. Stock integrity report would generally start at 6:00 AM, if slowness isnt fixed then the report would be delayed. Stock realingment activity would be impacted if any planned and they wouldn’t have the latest stock integrity report.</t>
  </si>
  <si>
    <r>
      <t xml:space="preserve">22/09 - No issues identified in the last 24 hours as the stock hub, EDW and Power BI runs are successfully completed on time for 21st Sep posting date, and the data is available as per BAU. Hence resolved.
21/09 - Stock integrity report for 20th Sep completed today without any issues. Confirmed with Pawan, to keep it under further monitoring till tomorrow 22/09. </t>
    </r>
    <r>
      <rPr>
        <b/>
        <sz val="10"/>
        <color rgb="FF000000"/>
        <rFont val="Arial"/>
        <family val="2"/>
      </rPr>
      <t xml:space="preserve">Next update at 22/09 17:00.
</t>
    </r>
    <r>
      <rPr>
        <sz val="10"/>
        <color rgb="FF000000"/>
        <rFont val="Arial"/>
        <family val="2"/>
      </rPr>
      <t xml:space="preserve">
20/09
19:30 - Stock hub, EDW and Power BI runs are successfully completed. Stock Integrity reports for 19/09 is available for DC's and stores. Incident kept under monitoring till 21/09. Need to check tomorrow by 9 to 10 AM with EDW team on tomorrows stock integrity report completion status. Next update at 21/09 11:00.
18:25 - SAP basis team confirmed that stock integrity stock hub jobs completed and EDW jobs has been triggered and in progress.Next update : 20/09 20:00
17:40 - Call reconvened. Involved SAP basis, PCM &amp; EDW team. SAP team confirmed that all entries are reflecting in MSEG logging table. Proceeding for the stock hub job release. Next update : 20/09 20:00
14:30 Currently logging table has completed 135/155M and expected to complete by 16:00 hrs. Team will initiate the stock integrity after that . Next update : 20/09 19:00
05:00 Logging table run is still ongoing and hence the stock integrity report for today is on Hold. Next update : 20/09 17:00
19/09
22:10: 1.7b loaded to HANA as expected and pending  logging tables run is ongoing now. Should be ready for tomorrow morning runs in an hour and half . [Next Update: 20/09/2025 @ 10:00]
15:00- It has been confirmed that not we are not able to refresh stock integrator reports for today 19/09. This means they won’t be able to identify differences between Warehouses and SAP. It has been confirmed this report will be run as normal tomorrow. The SAP Basis team are going to provide updates throughout the rest of the day and into the night until all records have completed. -Latest count of completion:  1.64 billion  [Next Update: 20/09/2025 @ 10:00]
14:50 - Following the increase in parallel jobs to 16, the estimated completion time has come down from 17 hours to 11 hours (Estimated Completion Time - 23:30) for the 1.7 billion records to complete.
13:00 - Team looking at going with option of running Parallel processing. SAP teams identified the volume range details for the archived data and online (BAU) transactions to proceed with the parallel processing option. Currently teams mentioned that they have 125 million records and they are splitting up the number ranges for parallel processing and assigning 10 parallel jobs for each ranges. They will provided an ETA to conclude the processing. Confirmed that no impact to H1 and can be recovered in time. Next Update: 19/09/2025 @ 14:30
12:00 - Team looking at going with option of Running Parallel processing of SLT replication. They need to assess the volume to do this, which is underway (Should take 20 mins to get volume). Once they have the volume they will start the Parallel processing and provided an ETA to conclude the processing.
Next Update: 19/09/2025 @ 13:00
11:00 - SAP Vendor engineer has joined the MIM call and troubleshooting the issue along with SAP Basis team. Next Update: 19/09/2025 @ 12:00
09:00 - SAP Vendor case raised 10703721/2025 (very high priority case). Still no SAP Vendor engineer joined the MIM call to troubleshoot on the issue. SAP team is reaching out to the escalation to get this expedited. Meanwhile, SAP Basis teams are discussing on the possible options for SLT restart. 
Next Update: 19/09/2025 @ 10:00
08:00 - SAP Vendor case raised 10703721/2025 (very high priority case) and teams reached out to the escalation point of contact (Jen) to get a SAP engineer to join the MIM call to further investigate this issue from their end. Next Update: 19/09/2025 @ 9:00 
7:00 - Inventory movement table data isn't getting replicated in the stock hub and SAP teams are investigation on this issue. Also, SAP team is on the direct call with SAP Vendor to get the case logged, since they are unable to raise the case directly in the portal.  Next Update: 19/09/2025 @ 8:00
6:13 - MIM call initiated – SAP Basis teams is looking into the issue. They are also raising case with the SAP vendor. Next update at 17:00 19/09</t>
    </r>
  </si>
  <si>
    <t>SAP team</t>
  </si>
  <si>
    <t>Suspected that due to archival enabled, lot of volumes caused SLT data corruption</t>
  </si>
  <si>
    <t>INC347</t>
  </si>
  <si>
    <t>INC000090919250</t>
  </si>
  <si>
    <t>Store colleagues from multiple stores are unable to login to Microsoft related applications like Microsoft Teams , Open access etc on their workstations</t>
  </si>
  <si>
    <t>Resolved</t>
  </si>
  <si>
    <t>Store colleagues are unable to collaborate with their colleagues on workstations , but they have a workaround that they can use their Surface Go Tablets and Mobile devices</t>
  </si>
  <si>
    <r>
      <t xml:space="preserve">26/09:
Total of 1005 devices have received the updates so far till now.
150+ devices are still receiving the updates and team will validate and work on each of the devices individually to get them upgraded.
On case by case basis individual workstations issues will be investigated and the upgrades will be performed in upcoming days – either rebuilt to Win 11 or replace the workstation. This will be handled as a P3 internally. Incident marked for closure and remaining actions as taken care as BAU.
25/09:
•Total of 965+  devices have received the updates so far till now. 
•190+ devices are still receiving the updates and team will validate and work on each of the devices individually to get them upgraded. 
•Discussion planned with business owners to conclude on the threshold % for this being handled in BAU since multiple workstations might need rebuild / replacements on individual cases since they are not installing the windows upgrade. Based on confirmation the incident will be resolved tomorrow and residual workstations will be investigated and upgraded in BAU. </t>
    </r>
    <r>
      <rPr>
        <b/>
        <sz val="10"/>
        <color rgb="FF000000"/>
        <rFont val="Arial"/>
        <family val="2"/>
      </rPr>
      <t xml:space="preserve">Next update at 26/09, 13:30
</t>
    </r>
    <r>
      <rPr>
        <sz val="10"/>
        <color rgb="FF000000"/>
        <rFont val="Arial"/>
        <family val="2"/>
      </rPr>
      <t xml:space="preserve">
24/09:
19:20 - Out of 1292 devices across Pilot, priority &amp; remaining stores: 
- 22H2 version update has been installed for 935 devices 
- 22H2 version update pending for 211 devices
- Pending restart for 9 devices
- Devices in unknown status for 82 devices
- Failed for 11 devices
In summary, 79% of the priority stores devices, 80% of pilot stores and 63% of remaining stores devices across the estate have received the 22H2 version updates. Team continues to proceed with the remaining installation. [Next update at 25/09, 17:30]
10:15 - Out of 1292 devices across Pilot, priority &amp; remaining stores: 
- 22H2 version update has been installed for 915 devices 
- 22H2 version update pending for 232 devices
- Pending restart for 7 devices
- Devices in unknown status for 66 devices
- Update not applicable for 65 devices
- Failed for 7 devices
In summary, 79% of the priority stores devices, 80% of pilot stores and 61% of remaining stores devices across the estate have received the 22H2 version updates. Team continues to proceed with the remaining installation.</t>
    </r>
    <r>
      <rPr>
        <b/>
        <sz val="10"/>
        <color rgb="FF000000"/>
        <rFont val="Arial"/>
        <family val="2"/>
      </rPr>
      <t xml:space="preserve"> [Next update at 24/09, 18:30</t>
    </r>
    <r>
      <rPr>
        <sz val="10"/>
        <color rgb="FF000000"/>
        <rFont val="Arial"/>
        <family val="2"/>
      </rPr>
      <t xml:space="preserve">]
23/09: 
19:30 - Out of 1292 devices across Pilot, priority &amp; remaining stores: 
-  22H2 version update has been installed for 881 devices 
- 22H2 version update pending - 248 devices
- Pending restart - 17 devices
- Devices in unknown status - 66
- Update not applicable - 71
- Failed - 9
In summary, 78% of the priority stores devices, 80% of pilot stores and 58% of remaining stores devices across the estate have received the 22H2 version updates. Team continue to proceed with the remaining installation. Next update at 17:00, 24/09
22/09
19:30 - Out of 1292 devices across Pilot, 128 &amp; remaining stores: 
-  22H2 version update has been installed for 745 devices 
- 22H2 version update pending - 369 devices
- Pending restart - 30 devices
- Devices in unknown status - 68
- Update not applicable - 75
- Failed - 6
69% of the 128 stores devices and 46% of remaining stores devices across the estate have received the 22H2 version updates. Team continue to proceed with the remaining installation. </t>
    </r>
    <r>
      <rPr>
        <b/>
        <sz val="10"/>
        <color rgb="FF000000"/>
        <rFont val="Arial"/>
        <family val="2"/>
      </rPr>
      <t xml:space="preserve">Next update at 17:00, 23/09
</t>
    </r>
    <r>
      <rPr>
        <sz val="10"/>
        <color rgb="FF000000"/>
        <rFont val="Arial"/>
        <family val="2"/>
      </rPr>
      <t xml:space="preserve">12:00 -  Teams continue to upgrade the workstations in batches as agreed.The 128 stores upgrade was initiated on Friday night and almost 350+ workstations have received the update and are now in 22H2 version. Rest of the stores upgrade has been implemented yesterday overnight and almost 300+ workstations have received the update.Further validation and updates in progress on pending wks which are yet to download or install the update. </t>
    </r>
    <r>
      <rPr>
        <b/>
        <sz val="10"/>
        <color rgb="FF000000"/>
        <rFont val="Arial"/>
        <family val="2"/>
      </rPr>
      <t xml:space="preserve">Next update 22/09 18:30
</t>
    </r>
    <r>
      <rPr>
        <sz val="10"/>
        <color rgb="FF000000"/>
        <rFont val="Arial"/>
        <family val="2"/>
      </rPr>
      <t xml:space="preserve">
20/09 
09:40 Microsoft have confirmed they cannot provide exception on the workstation patching.
Teams continue to upgrade the workstations in batches as agreed. The 128 stores upgrade was initiated overnight and almost 300+ workstations have received the update and are now in 22H2 version.Rest of the stores upgrade will be implemented as per plan tomorrow night.  </t>
    </r>
    <r>
      <rPr>
        <b/>
        <sz val="10"/>
        <color rgb="FF000000"/>
        <rFont val="Arial"/>
        <family val="2"/>
      </rPr>
      <t xml:space="preserve">Next Update: 22/09/2025 @ 09:30
</t>
    </r>
    <r>
      <rPr>
        <sz val="10"/>
        <color rgb="FF000000"/>
        <rFont val="Arial"/>
        <family val="2"/>
      </rPr>
      <t>19:00: 
Upgrade of workstation in progress now to 22H2 version  for 5 devcies each in 6 stores today (Stores with no working workstations for teams and outlook have been picked)  
Remaining workstations in 128 stores with all devices in lower version of 22H2 to be upgraded tonight 
And rest of the stores where we have workstations to be upgraded, to be planned on sunday night
Upgrades of selective workstations are in progress as per plan.
Team will work on tonights planned upgrade post store closure hours. Next update: 09:30 20 Sep
14:30 
Below plan is agreed with the retail business
Roll out to 6 critical stores( out of 128 priority stores ) with 5 workstations each - during business hours
Roll out to remaining 128 stores - After 9 , post store business hours
Roll out to other stores in estate - on Sunday 21st Night
Stores Infra team to validate the applications and printers post the build upgrade is successful todayy
In the meanwhile , Microsoft joined the call at around 13:40 and will confirm internally if the rollback on the advisory is possible.
MIM Call is closed as of now. Next Update: 19/09/2025 @ 17:00
13:50 Still waiting for agreement with Retail business and Andy Nielsen
13:15 Installation on 1 single store went through successfully and the issues with MS Outlook , Teams , Open access got resolved. Teams planning on an approach to roll out the fix 
11:18
Microsoft has not joined the call , but there is a theory that Microsoft might not agree for a rollback or to exclude M&amp;S workstations from this specific patch. The patch upgrade is Ongoing on 1 workstation as of now and expected to complete within next 1 hour. Currently we have 128 stores which have- build version older than 22H2 which are on priority. Teams are working on a plan to patch these devices on priority. Next Update: 19/09/2025 @ 12:30
09:35 
We have identified total 1177 devices in the M&amp;S estate which has the affected build version v1903 and the current list of impacted devices could grow ( currently around 700+) . Team have raised a MS SEV-A case to understand if M&amp;S can be temporarily excluded for the security updates. Our stores team are looking to determine feasibility of updating impacted devices. There is also a hypothesis that devices under v22H2 could be affected due to this issue and teams are working towards determining the affected devices. Next Update: 19/09/2025 @ 11:00
08:30 - As per initial investigations , Microsoft is removing support for the Key Derivation Function version 1 (KDFv1) algorithm used for the authentication of Microsoft Entra joined or Microsoft Entra hybrid joined devices in builds of Windows released before July 2021. Engineering teams are verifying logs from the affected colleagues and engineers are looking at potential resolution which may be via Microsoft as it is believed it is potentially linked to a Microsoft update last night. Next Update: 19/09/2025 @ 09:30
07:05 - AD team has identified a Microsoft related change and discussions are ongoing on the MIM</t>
    </r>
  </si>
  <si>
    <t>Stores Infra/AD</t>
  </si>
  <si>
    <t>CHG3630</t>
  </si>
  <si>
    <t>Post a Microsoft pacthing, workstations below 22H2 version were not compatible and hence are being upgraded to 22H2 version</t>
  </si>
  <si>
    <t>INC350</t>
  </si>
  <si>
    <t>INC000090922423</t>
  </si>
  <si>
    <t>Delay in GMOR reporting</t>
  </si>
  <si>
    <t>GMOR - User self-serviced &amp; BO reports, SSI systems do not currently have the latest sales data.</t>
  </si>
  <si>
    <r>
      <t xml:space="preserve">22/09 - Incident resolved. No issues identified in the last 24 hours and all reporting has started/scheduled as it should. 
16:37 - All GMOR jobs and any jobs reliant on GMOR data upstream/downstream have now been processed. This incident will now be placed under monitoring until 22/09  to ensure there are no further issues through the night and GMOR reporting starts as normal tomorrow. </t>
    </r>
    <r>
      <rPr>
        <b/>
        <sz val="10"/>
        <color rgb="FF000000"/>
        <rFont val="Arial"/>
        <family val="2"/>
      </rPr>
      <t xml:space="preserve">Next update at 22/09 10:00
</t>
    </r>
    <r>
      <rPr>
        <sz val="10"/>
        <color rgb="FF000000"/>
        <rFont val="Arial"/>
        <family val="2"/>
      </rPr>
      <t xml:space="preserve">16:12 - As of 16:12, everything looks to be processing as it should. Latest update due at 5pm where we will be looking to put this MI to 'Being Monitored'
14:51 - 
GMOR Sales job completed successfully. O9 and BEAM sales jobs completed successfully. SSI Sales jobs in progress.Next update :17:00
13:30 
• A full restart of both the Database and Application servers was successfully completed by the vendor. All validation checks have passed. All delayed reporting jobs are now being restarted in a controlled manner. These jobs will be actively monitored through to completion to ensure stability and data integrity.
 - GMOR reporting jobs restarted at 12:35, with a 4-hour completion window.
- POSDTA jobs scheduled to start at 13:30.
- O9 feeds will be prioritised immediately after GMOR completion.
 •Users should start to see updated sales figures by 16:30 today to prepare for Monday trading reporting. Next update :17:00
11:30 The SAP Vendor was still seeing issues with connectivity, so they recommended carrying out a full Database and Application restart. Database restart completed in 90 minutes ( @11:00). Health checks for the Database server in progress. Application restart is in progress. Expected to complete by 12:00. Once system is healthy, reporting jobs can recommence. 
There is no impact to any jobs that require POSDTA Server upstream or downstream as they have been paused until the POSDTA server is back online and healthy. next update : 13:30
09:30 SAP POSDTA seems to be down intermittently from 6 AM and SAP vendor is involved in the recovery. One of the application servers is up now and SAP is working on bringing the other application server up. In the mean time , Teams are working on the recovery of the other independent jobs. GMOR flow to other downstream systems will start post recovery  of the SRP POSDTA system . next update : 11:30
08:06 As per initial investigation , SAP POSDTA system is down and SAP vendor is working on the same [ Case 76960/2025 (P1) - SRPMNS || System down ] . No ETA from them on the recovery. next update : 09:30 
08:00 Ecomm sales job was in hung state. Teams are in recovery state with the Basis teams do not have any ETA. </t>
    </r>
  </si>
  <si>
    <t>SAP Vendor</t>
  </si>
  <si>
    <t>KrishnaPrasad R</t>
  </si>
  <si>
    <t>Initial investigation - SAP confirmed that the Jobs run by user Control M caused the issue
10:55 Received the 1st Alert
11:15 SAP started to re-start the system
12:45 SAP Handed over the system
2:00 PM - System back to normal after Batch catch up</t>
  </si>
  <si>
    <t>INC352</t>
  </si>
  <si>
    <t xml:space="preserve">INC000090923531 </t>
  </si>
  <si>
    <t>No GRs flowing to GIST for Hemel depot</t>
  </si>
  <si>
    <t>Foods</t>
  </si>
  <si>
    <t xml:space="preserve">Hemel is currently not receiving goods receipt messages from ASO, therefore, trailer movement is impacted.  As per standard business continity, Hemel has gone to backup allocation. 
Note: There has been no impact to any trailer shipment as they are in backup allocation. Risk to allocation accuracy if the issue is not resolved.  </t>
  </si>
  <si>
    <t>23/09 - No issues reported overnight and the network device status have remained stable. Permanent fix to replace the faulty PDU is being planned via the Foods leadership. Further lessons learnt of efficient handling of alerts and amending the Distribution list for GIST.
22/09
18:15 - GIST local engineer has successfully moved the network devices to a healthy power supply which has now brough back the network switches &amp; routers by 18:02. We have now confirmed that all the backlog messages have processed to and from GIST and we are back to BAU. Permanent fix to replace the faulty power supply involves cost and this needs to be picked up by Foods leadership to confirm the ownership between GIST and M&amp;S. The incident will be monitored to ensure stability.
Next update at 13:00, 23/09.
17:55 - GIST onsite engineers (electricians) are currently working to connect the network devices to a healthy power supply - taking longer than expected abiding the Health &amp; Safety regulations. In parallel, our network team have engaged RIT to replace the faulty PDU (power distribution unit) and are awaiting on the next steps a.k.a the cost, date &amp; time - this needs to be owned by Foods leadership, discussions will progress once we have restored services. Next update at 19:00
17:30 - GIST is currently trying to connect the affected network devices to a healthy PDU (power distribution unit) to restore services tactically. We still need to repair the faulty PDU to ensure resiliency. Network team are engaging RIT (Retail Implementation Team) to initiate the discussion. Next update at 18:00
16:20 - Further investigations revealed that the network switch specific to Hemel had gone down at 11:15. Network team had informed the GIST team notifying of the issue - we need clarity from GIST on the actions taken. GIST has now confirmed that the switch has lost power and therefore are engaging their local onsite engineer to investigate this and taken some mechanical actions. Next update at 17:30
15:33 - Integration team has investigated the issue and identified an issue with connectivity to Hemel. MIM is arranging a network resource to get this triaged. Next update at 16:30</t>
  </si>
  <si>
    <t>GIST</t>
  </si>
  <si>
    <t>Issue caused due to a faulty PDU (Power Distribution Unit) serving the M&amp;S network devices. GIST local engineer has successfully moved the network devices to a healthy power supply which has now brough back the network switches &amp; routers by 18:02</t>
  </si>
  <si>
    <t>INC353</t>
  </si>
  <si>
    <t>INC000090923498</t>
  </si>
  <si>
    <t>Stores unable to print DPD labels for ISF orders</t>
  </si>
  <si>
    <t>Store are unable to generate the label impacting packing of Instore Fulfilment orders. In total 1004 orders were impacted including 566 customer miss promised orders</t>
  </si>
  <si>
    <t>23/09
10:05 - No errors observed for DPD API calls, team confirmed API processing were looking good.As per 23/09, 09:25 am stats total of 1228 order packed using DPD. Confirmed with Hisham on incident closure. 
22/09
18:00 - From 18:05, we have continuously observed positive responses which means the labels are generating without any issues - 38 orders were packed by generating successful labels. While we await for DPD to confirm on service restoration and details around root cause, we have preconfigured alerting to notify of any further issues. This incident is now set to "being monitored" while we continue to monitor our backend database stats. Next update at 13:00, 23/09
17:07 - DPD API services are down impacting other customers including M&amp;S. DPD is currently working on restoring services. Next update at 18:00.</t>
  </si>
  <si>
    <t>DPD</t>
  </si>
  <si>
    <t xml:space="preserve">Issue was caused due to a global issue at DPD impacting their other customers, including M&amp;S. </t>
  </si>
  <si>
    <t>INC355</t>
  </si>
  <si>
    <t>INC000090916878</t>
  </si>
  <si>
    <t>Sales value mismatch between EDW and Baby BEAM where Baby BEAM is understated</t>
  </si>
  <si>
    <t>In Progress</t>
  </si>
  <si>
    <t xml:space="preserve">Finance </t>
  </si>
  <si>
    <t>This discrepancy is preventing the Finance team from accurately calculating the delta required for H1 journal postings and from presenting auditors with a defensible, validated view of sales and COGS for the half-year period due by 26th September.</t>
  </si>
  <si>
    <r>
      <t xml:space="preserve">26/09 - To support the reconciliation and journal posting process, Finance will reconcile based on downpayments to determine the accurate figures required for posting. MIM support will remain active throughout to ensure all data requests are addressed promptly and efficiently.
A follow-up call is scheduled for 30th September (HY reporting day) to align on next steps. The following key points have been agreed:
Controls Review: Confirm and document the controls currently in place, and define what “good” looks like going forward.
Pre-Incident Baseline: Identify and document the processes and controls that were in place prior to the incident. Analyse the gaps in controls pre and post incident.
Post-Incident Review (PIR): Conduct a PIR to address outstanding actions across all impacted areas. This will help ensure alignment and confidence across teams.
Recovery Roadmap: Finalize and confirm the Finance recovery roadmap to ensure readiness for H2. This plan must be signed off by the Finance Director (FD) and Recovery Lead. </t>
    </r>
    <r>
      <rPr>
        <b/>
        <sz val="10"/>
        <color rgb="FF000000"/>
        <rFont val="Aptos Narrow"/>
        <family val="2"/>
        <scheme val="minor"/>
      </rPr>
      <t>Next update at 15:00, 30/09.</t>
    </r>
    <r>
      <rPr>
        <sz val="10"/>
        <color rgb="FF000000"/>
        <rFont val="Aptos Narrow"/>
        <family val="2"/>
        <scheme val="minor"/>
      </rPr>
      <t xml:space="preserve">
25/09 - 
20:00 -  We have analysed a small sample size (5k orders) over multiple scenarios and dates and this analysis has so far shown that no orders are missing, no duplicates exist, and dispatch counts reconcile on sample dates. Minor differences exist in the treatment of dispatch dates (for example, in drop ship and split shipment cases), but these explain only small variances and are not material to the overall trend.
A reversal in cumulative variance between BabyBeam and EDW was observed by the end of August. Historically, BabyBeam reported higher figures, but EDW has since overtaken and maintained a growing lead. This shift is not explained by known factors such as order counts, duplicate handling, or dispatch logic, and may indicate deeper differences in how each system treats in-store fulfillment, site-level filtering, or returns.
Given that H1 cannot be fully reconciled, the recommendation is to close with the aligned order-level data and continue background analysis. Two key actions: 
Establish overall sales value for H1- Define and agree the sales figure that Finance needs in order to confidently close H1 reporting.
Confirm system of record for sales data- Determine which system (SAP or BabyBeam) should be treated as the authoritative source for accurate sales reporting, including for the Deloitte audit.
Forward-Looking Plan for H2:
For H2, the focus shifts to implementing robust reconciliation processes, defining ownership, and establishing a clear reporting source of truth. Weekly checks and early escalation of mismatches will help restore confidence and ensure reporting integrity through the golden quarter.</t>
    </r>
    <r>
      <rPr>
        <b/>
        <sz val="10"/>
        <color rgb="FF000000"/>
        <rFont val="Aptos Narrow"/>
        <family val="2"/>
        <scheme val="minor"/>
      </rPr>
      <t xml:space="preserve"> 
Next update at 15:00, 26/09
</t>
    </r>
    <r>
      <rPr>
        <sz val="10"/>
        <color rgb="FF000000"/>
        <rFont val="Aptos Narrow"/>
        <family val="2"/>
        <scheme val="minor"/>
      </rPr>
      <t xml:space="preserve">17:30 - We have analysed a small sample size (5k orders) over multiple scenarios and dates and this analysis has so far shown that no orders are missing, no duplicates exist, and dispatch counts reconcile on sample dates. Minor differences exist in the treatment of dispatch dates (for example, in drop ship and split shipment cases), but these explain only small variances and are not material to the overall trend.
The main concern is a sudden reversal observed at the end of August, where the cumulative variance between BabyBeam and EDW flipped direction. Historically, BabyBeam was consistently higher and EDW was catching up, but from that point onwards EDW has remained higher, and the gap has continued to grow. This pattern cannot be explained by the checks performed so far, including order counts, duplicate analysis, and known dispatch-date variances.
The current working hypotheses are differences in the treatment of in-store fulfillment, possible site-level filtering within EDW, and the way Baby Beam processes returns. We are waiting on the analysis to reconvene and take a call. The call is ongoing and will establish the next steps after the call completed.
</t>
    </r>
    <r>
      <rPr>
        <b/>
        <sz val="10"/>
        <color rgb="FF000000"/>
        <rFont val="Aptos Narrow"/>
        <family val="2"/>
        <scheme val="minor"/>
      </rPr>
      <t xml:space="preserve">Next update at 25/09, 20:00
</t>
    </r>
    <r>
      <rPr>
        <sz val="10"/>
        <color rgb="FF000000"/>
        <rFont val="Aptos Narrow"/>
        <family val="2"/>
        <scheme val="minor"/>
      </rPr>
      <t xml:space="preserve">11:00 - Following the 10am call, 2 critical actions are currently being progressed - 
FInance business to reconcile the sales to cash data for Period 6 - order level to confirm the variance (if any)
Inconsistencies between the BabyBEAM dashboard and manual extracts have been identified, attributed to filter logic differences. Team are currently validating the difference in logic to prove the data accuracy in BB.
Another call will be scheduled in the next couple of hours to conclude the above actions and agree on which systems hold the accurate data for the finance business to complete the H1 journal posting.
</t>
    </r>
    <r>
      <rPr>
        <b/>
        <sz val="10"/>
        <color rgb="FF000000"/>
        <rFont val="Aptos Narrow"/>
        <family val="2"/>
        <scheme val="minor"/>
      </rPr>
      <t xml:space="preserve">Next update at 18:00, 25/09 .
</t>
    </r>
    <r>
      <rPr>
        <sz val="10"/>
        <color rgb="FF000000"/>
        <rFont val="Aptos Narrow"/>
        <family val="2"/>
        <scheme val="minor"/>
      </rPr>
      <t xml:space="preserve">24/09 - Following multiple Major Incident Management (MIM) calls, a £12M variance in the P1–P5 sales-to-cash reconciliation has been traced primarily to refunds not posted before August 3rd. The Finance business team is planning to repost these refunds, which may reduce the variance.
However, the core issue remains unresolved: discrepancies in sales dispatch data between SAP and BabyBEAM. Additionally, inconsistencies between the BabyBEAM dashboard and manual extracts have been identified, attributed to filter logic differences. Updates are in progress to align the dashboard with the correct logic.
A separate workstream is also validating net sales values for orders involving promotions and discounts, comparing SAP and BabyBEAM data for periods with high promotional activity. A catch up call is scheduled at 10:00 to discuss the further updates.
Note: the priority will be increased to P1 after evaluating the progress of the actions tomorrow morning
</t>
    </r>
    <r>
      <rPr>
        <b/>
        <sz val="10"/>
        <color rgb="FF000000"/>
        <rFont val="Aptos Narrow"/>
        <family val="2"/>
        <scheme val="minor"/>
      </rPr>
      <t>Next update at 11:00, 25/09</t>
    </r>
    <r>
      <rPr>
        <sz val="10"/>
        <color rgb="FF000000"/>
        <rFont val="Aptos Narrow"/>
        <family val="2"/>
        <scheme val="minor"/>
      </rPr>
      <t xml:space="preserve"> to get a collated view of the state of play unless there are significant changes to the status of the issue as this involves date recon
23/09: We have been using Baby BEAM as the source of truth for Online Dispatches in FH&amp;B, due to missing Sales (for the first few weeks) and Returns (for 45 days) for orders placed before the SAP cutover. Now, significant discrepancies have emerged between Baby BEAM and SAP data, leaving us unable to determine the correct cumulative sales value in SAP for Online FH&amp;B. As a result, we cannot confidently demonstrate to auditors that our reported sales and COGS values for the half-year are accurate.
Current Findings
Order-level analysis shows no evidence of missing dispatches in either system. Where daily dispatches do not match, the dispatch can usually be found on a different day in SAP (Vivianne Stein is investigating this).
</t>
    </r>
    <r>
      <rPr>
        <b/>
        <sz val="10"/>
        <color rgb="FF000000"/>
        <rFont val="Aptos Narrow"/>
        <family val="2"/>
        <scheme val="minor"/>
      </rPr>
      <t>Cumulative Dispatch Sales Value:</t>
    </r>
    <r>
      <rPr>
        <sz val="10"/>
        <color rgb="FF000000"/>
        <rFont val="Aptos Narrow"/>
        <family val="2"/>
        <scheme val="minor"/>
      </rPr>
      <t xml:space="preserve"> SAP now consistently reports a significantly higher value than BabyBEAM (difference of ~10M dispatches).
Returns Value: Since 6th September, SAP returns are significantly higher than BabyBEAM, which is unexpected.
</t>
    </r>
    <r>
      <rPr>
        <b/>
        <sz val="10"/>
        <color rgb="FF000000"/>
        <rFont val="Aptos Narrow"/>
        <family val="2"/>
        <scheme val="minor"/>
      </rPr>
      <t xml:space="preserve">Required Outcome
</t>
    </r>
    <r>
      <rPr>
        <sz val="10"/>
        <color rgb="FF000000"/>
        <rFont val="Aptos Narrow"/>
        <family val="2"/>
        <scheme val="minor"/>
      </rPr>
      <t xml:space="preserve">We need to establish and prove the correct cumulative dispatch sales and volume numbers to ensure accurate half-year sales and COGS reporting.
</t>
    </r>
    <r>
      <rPr>
        <b/>
        <sz val="10"/>
        <color rgb="FF000000"/>
        <rFont val="Aptos Narrow"/>
        <family val="2"/>
        <scheme val="minor"/>
      </rPr>
      <t xml:space="preserve">Next Steps
</t>
    </r>
    <r>
      <rPr>
        <sz val="10"/>
        <color rgb="FF000000"/>
        <rFont val="Aptos Narrow"/>
        <family val="2"/>
        <scheme val="minor"/>
      </rPr>
      <t xml:space="preserve">A reconciliation across SAP, BabyBEAM, and the Order Management System (OMS) has been agreed.
A call is scheduled for tomorrow at 09:00 to discuss findings and next actions. </t>
    </r>
    <r>
      <rPr>
        <b/>
        <sz val="10"/>
        <color rgb="FF000000"/>
        <rFont val="Aptos Narrow"/>
        <family val="2"/>
        <scheme val="minor"/>
      </rPr>
      <t>Next update at 17:00, 24/09</t>
    </r>
  </si>
  <si>
    <t>Baby Beam</t>
  </si>
  <si>
    <t>PawanKumar Manjunathan</t>
  </si>
  <si>
    <t>INC356</t>
  </si>
  <si>
    <t>INC000090924862</t>
  </si>
  <si>
    <t>Ollerton DC colleagues are unable to print labels across the site.</t>
  </si>
  <si>
    <t>Colleagues are unable to pack impacting ecomm order despatches &amp; online refund process. There is no impact to today's planned despatch… Final impact : 2.7k packing capability loss &amp; a productivity loss of 18hrs18mins</t>
  </si>
  <si>
    <t xml:space="preserve">24/09:
09:10 - Ollerton DC colleagues confirmed that there were no further label printing issues observed since 14:40, 23/09 and the overnight monitoring also confirmed that the temp file space also have remained within its threshold.
23/09: 
18:18 - Following the extensive monitoring for the last couple of hours, the temp file has remained within its threshold and the site has been able to print labels since 14:40. The preconfigured script to monitor the file system capacity to trigger an alert in the event of threshold breach has been validated and continues to run every 1 hour to highlight any future issues until the SCOM (monitoring tool) is recovered.
 Open actions :
Investigate further to understand if the temp space was getting cleared automatically as expected to identify the root cause.  
Next update: 10:00, 24/09
15:00 The site has confirmed that the label printing is working as expected since 14:40. The incident is kept under monitoring.  Hypercare has been agreed to monitor the stability of the service for every 15 mins for next 2 hours. Next update: 18:00, 23/09
RCA: The temp space which stores the logs in filesystem was full and it was cleared to restore the services. 
 Open actions :
 Script has been enabled to monitor the file system capacity and alert the Linux team via email. The script runs every 30 mins however the temp file systems was cleared around 14:00 when the issue was reported at 13:40. Feasibility of reconfiguring the script in being explored.
Investigate further to understand if the temp space was getting cleared automatically as expected to identify the root cause. 
14:40 Following the test print initiated from WMS backend, the label has physically printed at the site. We have asked the site to resume print pack labels from Ops as a test to check if the issue is restored.
14:26 WMS team identified a capacity issue with the temp file system (stores logs) impacting the execution of the Control M job resposible for label printing. WMS team had cleared the logs and allowed more space in the temp file following which the control M job is running its cycles as expected. However, the issue continue to exist - we are triaging further with an impacted printer.
Further investigations underway </t>
  </si>
  <si>
    <t xml:space="preserve">The temp space which stores the logs in filesystem was full and it was cleared to restore the services. </t>
  </si>
  <si>
    <t>INC361</t>
  </si>
  <si>
    <t>INC000090929073</t>
  </si>
  <si>
    <t>Intermittent and increasing Payment refusal from WorldPay</t>
  </si>
  <si>
    <t>Online- ~10% of online order payments are being declined. As its intermittent, a retry could work.
In Stores ~12% of payments are being declined at the till point. As its intermittent, a retry could work and alternate payment.
Card payments are being intermittently declined (around 13%) at the stores and nearly 10% for online users leading to poor customer experience.
Straight declines are seen. Apple Pay and Card Payments wont work. Chip and Pin is impacted.</t>
  </si>
  <si>
    <r>
      <t xml:space="preserve">13:05 - Following a period of monitoring, service has remained at normal levels since restoration at 09:42. Investigations are underway from Worldline to identify the Root Cause. Post Incident Review to be scheduled week commencing 29/09. 
10:13 - Worldline have confirmed connectivity between them and Worldpay has been restored at 09:42 and services have been restored. Confirmed with teams that for last 10 mins we are at 0% failures. Incident kept under monitoring. </t>
    </r>
    <r>
      <rPr>
        <b/>
        <sz val="10"/>
        <color rgb="FF000000"/>
        <rFont val="Aptos Narrow"/>
        <family val="2"/>
        <scheme val="minor"/>
      </rPr>
      <t xml:space="preserve">Next Update at 26/09 14:00
</t>
    </r>
    <r>
      <rPr>
        <sz val="10"/>
        <color rgb="FF000000"/>
        <rFont val="Aptos Narrow"/>
        <family val="2"/>
        <scheme val="minor"/>
      </rPr>
      <t>09:30 - MIM call initiated. Worldline has identified the issue and they are working on the fix. Next update at 26/09 10:30</t>
    </r>
  </si>
  <si>
    <t>Wordline</t>
  </si>
  <si>
    <t>Worldline have confirmed connectivity between them and Worldpay has been restored at 09:46 and services have been restored</t>
  </si>
  <si>
    <t>INC363</t>
  </si>
  <si>
    <t xml:space="preserve">INC000090931529
 </t>
  </si>
  <si>
    <t>Ollerton - MQ Server services down</t>
  </si>
  <si>
    <t xml:space="preserve">1. Delay in sending ecomm message order flow and start of day stock position to Availability services. 
2. Potential impact to customer miss promise due to delay in sending ASNs from WMS to OMS. The relevant customer miss promise job has been suspended in OMS to avoid customer confusion 
3. There was no operational impact called out by the site - confirmed with the site. </t>
  </si>
  <si>
    <r>
      <t xml:space="preserve">29/09:
Integration team confirmed that there were no MQ pileups observed since 09:38, 28/09 and agreed to resolve the incident. 
</t>
    </r>
    <r>
      <rPr>
        <u/>
        <sz val="10"/>
        <color rgb="FF000000"/>
        <rFont val="Aptos Narrow"/>
        <family val="2"/>
        <scheme val="minor"/>
      </rPr>
      <t>Root Cause</t>
    </r>
    <r>
      <rPr>
        <sz val="10"/>
        <color rgb="FF000000"/>
        <rFont val="Aptos Narrow"/>
        <family val="2"/>
        <scheme val="minor"/>
      </rPr>
      <t>: Queue Manager went down, resulting in outage. Case raised with RedHat and awaiting further updates.
09:51 - WMS re-triggered the SOD file dated 27th Sep and Availability services team confirmed receiving the files at 09:38. Pending ASN's also processed from Mule to OMS and miss promise notification released to end users at 09:15. All services has been restored. Incident to be kept under monitoring till 29/09. 
Next update at 29/09 17:00
Initial Cause from Linux end: From cluster logs we could see that there was no failover happened midnight, only the MQ resource got restarted. For further root cause investigations RedHat case has been logged. Case ID: 04266000
09:00 - WMS is still in process of re-triggering the SOD file dated 27th Sep and to check with Availability services team if they have received it. 
OMS Team are currently validating the receipt of the ASNs before releasing the customer miss promise jobs 
Next update at 28/09 10:00
08:20 - Following the restart of MQ and Mule services, the flow of messages is back to normal since 07:20. However, there are two outstanding actions :
1. WMS to trigger the Start of day stock file through a control M job - In progress. ETA : 09:00
2. Around 2.2k ASNs are yet to be processed from Mule to OMS - once this is processed, the customer miss promise job can be released. ETA : 09:00
Next update at 28/09 09:00
07:30 - Post the restart of Mule and MQ services, and clearing all the MQ stray processes, audit queues, semaphores. Validations completed at 07:20 and no error messages seen so far. WMS team to handover the site back to Operations.</t>
    </r>
    <r>
      <rPr>
        <b/>
        <sz val="10"/>
        <color rgb="FF000000"/>
        <rFont val="Aptos Narrow"/>
        <family val="2"/>
        <scheme val="minor"/>
      </rPr>
      <t xml:space="preserve"> </t>
    </r>
    <r>
      <rPr>
        <sz val="10"/>
        <color rgb="FF000000"/>
        <rFont val="Aptos Narrow"/>
        <family val="2"/>
        <scheme val="minor"/>
      </rPr>
      <t>Next update at 28/09 08:30
06:39 WMS team have secured 15 mins outage, from 6:45 to 7:00 today for restart MULE and MQ instance, kill the existing process if any existing and purge the audit queue message/semaphores and start the queue manager to see if that fixes the issue. Next update at 28/09 07:30
06:00 - Server commands are not executing. Initial check shows cluster failover attempted automatically due to which queue manager went down and didn't start automatically. Middleware, WMS, Linux teams are involved for further investigations. Next update at 28/09 07:00</t>
    </r>
  </si>
  <si>
    <t>Middleware team</t>
  </si>
  <si>
    <t>(Surendaran Elangovan) Middleware team via teams</t>
  </si>
  <si>
    <t>A bug in Linux Kernal (confirmed by RedHat) which triggered a false alert causing the Cluster to restart services in the server.</t>
  </si>
  <si>
    <t>INC366</t>
  </si>
  <si>
    <t>INC000006448862</t>
  </si>
  <si>
    <t xml:space="preserve">Click and Collect Travel Money unavailable </t>
  </si>
  <si>
    <t>Supply chain, Stores</t>
  </si>
  <si>
    <t>Customers were unable to see select a store when navigating the Click and Collect for Travel Money through the website. Customers were able to select a region but there was no date available to select either</t>
  </si>
  <si>
    <t>14:07 - Incident resolved. 
13:45 - Travel Money Product owners have confirmed that this was change related and this was impacting between 22:00 and 09:36. Impact to business we estimate - commercial impact to be c. 290 customer orders not placed. Average Transaction Value online is c. £500, so turnover impact of c. £150k, or £1.5k profit share.
09:50 - Service restored at 09:35 with no intervention. A change was carried out last night, which was not under M&amp;S Change Control. Confirmation that the change was the cause of the incident and subsequently reverted. 
Root cause &amp; Actions Required:
Suspected to be a change performed by the vendor (Eurochange)– TBC.
Next update: 15:00 30/09/2025</t>
  </si>
  <si>
    <t>Vendor Eurochange</t>
  </si>
  <si>
    <t>A change was carried out last night, which was not under M&amp;S Change Control. Confirmation that the change was the cause of the incident and subsequently reverted</t>
  </si>
  <si>
    <t>INC368</t>
  </si>
  <si>
    <t xml:space="preserve">INC000090936759 </t>
  </si>
  <si>
    <t>Customers with a staff discount were unable to checkout on the website.</t>
  </si>
  <si>
    <t>Customers with a staff discount received an error at payment on the M&amp;S.com website and were unable to place orders between 10:51 and 14:40.
Approx 1355 colleagues were impacted equating to 3% drop in orders resulting in poor customer experience.</t>
  </si>
  <si>
    <t>19:40 - The change has now been reverted on the affected WCS hall, the website traffic is now distributed across the halls - the website traffic is back to BAU. Root cause analysis continue. 
15:40 - A decision has been made to revert the change implemented in the other WCS hall. This rollback is currently in progress and is expected to take approximately 3 hours. Once completed, WCS traffic will be redistributed across both halls, with no impact anticipated to the customer online journey. The overall activity is scheduled to be completed by 19:30.
Next update: 20:00
15:18 - Through manual monitoring, the issue was identified by the WCS team. While the WCS release had propagated to one out of 2 halls in WCS, the issue surfaced. Therefore, the traffic was moved to the 2nd hall where the change was not deployed which restored service. Discussions underway with the teams to revert the change on the 1st hall. 
Next update at 16:00</t>
  </si>
  <si>
    <t>WCS</t>
  </si>
  <si>
    <t>There was a WCS release deployed this morning under CHG3653</t>
  </si>
  <si>
    <t>INC370</t>
  </si>
  <si>
    <t>INC000090937171</t>
  </si>
  <si>
    <t>Issues with pack benches and label printing in CD</t>
  </si>
  <si>
    <t>Supply chain</t>
  </si>
  <si>
    <t>Pack benches were not working and getting into Freeze status and unable to pack and print labels
32K capability loss on pack
C&amp;C and NDD prop both moved +24hrs to protect CFR</t>
  </si>
  <si>
    <t>18:00 Site remained stable and no further issues observed since resolution this morning at 08:45. Incident agreed for closure by Mark Davies. 
14:00 Site remains stable and processing as BAU since the Azure services restart. Next update: 01/10 18:00
08:44 CD Packbench API services hosted on Azure were restarted by the Warehouse Platform team after which the connectivity was restored between the WMS Database and the Packbenches. Site Operations team confirmed they were able use packbenches from 08:45. Next update : 13:00
07:10 - Engaged Network and operations team to investigate</t>
  </si>
  <si>
    <t>Warehouse Platform Team</t>
  </si>
  <si>
    <t xml:space="preserve">CD Packbench API services hosted on Azure were restarted by the Warehouse Platform team after which the connectivity was restored between the WMS Database and the Packbenches. </t>
  </si>
  <si>
    <t>INC371</t>
  </si>
  <si>
    <t xml:space="preserve">INC000090938052 </t>
  </si>
  <si>
    <t>Customer unable to receive sorted comms for today's delivery.</t>
  </si>
  <si>
    <t xml:space="preserve">•	No sorted customer emails have been sent to customers, this will include "out for delivery" and "delivered" emails
•	Estimated 55k orders were shipped out to customers yesterday
•	With no delivery comms being sent to customers, will likely drive increase in customer contacts into the contact centre
•	This incident also impacts our ability to monitor in day delivery performance, especially impacting our next day delivery offerings
</t>
  </si>
  <si>
    <t>12:30 OMS team observed the regular files for Hermes (Evri) and Dropship were not transferred due to ongoing issue with 0-kb file generation issue. Control M team retriggered the job and Files were transferred successfully and were received at the sorted, sorted team confirmed that the files were being interfaced to the track.</t>
  </si>
  <si>
    <t>OMS team observed the regular files for Hermes (Evri) and Dropship were not transferred due to ongoing issue with 0-kb file generation issue. Control M team retriggered the job and Files were transferred successfully</t>
  </si>
  <si>
    <t>Design Issue</t>
  </si>
  <si>
    <t>INC372</t>
  </si>
  <si>
    <t>INC000090938605</t>
  </si>
  <si>
    <t>Delay in NDC Allocations , Foods Final Orders to Suppliers due to Relex Batch Issues</t>
  </si>
  <si>
    <t xml:space="preserve">•Foods Final orders were delayed to suppliers for their picking/production and Suppliers were communicated to use the most recent 28-day order plan as contingency until purchase orders were sent in foe 02/10.
•Foods NDC Allocations were delayed for Bradford and Milton keynes for picking, receiving, dispatches, etc
•Contingency process was applied to Foods RDC Allocations for picking whilst Relex calculated the actual store order proposals for 02/10.
•28 day order plan for 02/10 was to suppliers for their forward planning and procurements.
•The availability of Relex UI to business users was delayed. </t>
  </si>
  <si>
    <r>
      <rPr>
        <sz val="11"/>
        <color theme="1"/>
        <rFont val="Aptos Narrow"/>
        <family val="2"/>
        <scheme val="minor"/>
      </rPr>
      <t xml:space="preserve">03/10 
07:00  NDC Allocations for Milton Keynes and Bradford completed at 03:30 and 03:46 respectively. Foods Final orders were sent at 04:42 
16:00 Initial root cause from Relex states that Database operations went into a retry and resulting in the batch to get stuck. However, they have agreed for an extensive hypercare along with Relex product team for monitoring tonight's Relex batch and Foods Critical Flows. Awaiting detailed root cause from Relex.
</t>
    </r>
    <r>
      <rPr>
        <b/>
        <sz val="10"/>
        <color rgb="FF000000"/>
        <rFont val="Aptos Narrow"/>
        <scheme val="minor"/>
      </rPr>
      <t xml:space="preserve">Next update : 03/10 09:00
</t>
    </r>
    <r>
      <rPr>
        <sz val="11"/>
        <color theme="1"/>
        <rFont val="Aptos Narrow"/>
        <family val="2"/>
        <scheme val="minor"/>
      </rPr>
      <t>08:30 FFO orders completed at 06:51 . Hypercare support for overnight batches need to be discussed with Relex. call scheduled at 15:30
07:30 •	NDC allocations at Bradford and Milton Keynes DCs completed at 06:49 and 06:23 respectively. 
•	28 day order plan was sent to suppliers at 06:40
•	RDC allocations: Were sent at 04:53
•	Relex UI was unlocked to colleagues at 06:03
•	Foods Final orders to suppliers – This is still in progress. Once this has completed the resolution comms will be sent
03:46 Batch has been re-triggered at 2 AM by Relex and ETA for completion is approx 7 AM</t>
    </r>
  </si>
  <si>
    <t>Relex</t>
  </si>
  <si>
    <t>Tamilenbakumar</t>
  </si>
  <si>
    <t>Relex batch got delayed due to DB connectivity issues</t>
  </si>
  <si>
    <t>INC375</t>
  </si>
  <si>
    <t>INC000090940410</t>
  </si>
  <si>
    <t>WCS ( Warehouse Control system) application inaccessible in FH&amp;B Castle Donington</t>
  </si>
  <si>
    <t>The Castle Donington pick , pack and dispatch operations were impacted between 10:15 and 11:52. The proposition for C&amp;C &amp; NDD were moved to +24 hrs.  The issue resulted in 5 customer order  miss promises and capability loss of 64.5K in total</t>
  </si>
  <si>
    <r>
      <t xml:space="preserve">16:00 The WCS application became accessible again at 11:04 and site operation resumed at 11:52. NDD proposition has been moved back to 13:00, C&amp;C proposition remains +24 hrs. we agreed to resolve the incident as the service remains stable. RCA: The issue was caused as the disk space in WCS DB node 1 (currently active) was maxed out as the archival log deletion script was not configured in WCS DB node 1. The archival log deletion script has been configured, and a script will be configured to monitor and notify the Oracle team on the status of the disk space.  A PIR will be held to address all the gaps and agree preventive actions. 
12:00 - WCS Connectivity was restored by 11:04, backlog of messages peaked at 100k at 11:20 and was confirmed to have cleared down by 11:28. Global Stop was put in place at 10:23 and was lifted in CD at 11:52 and all operations were back live. Hypercare has been put in place for CD Databases in the short term whilst auto alerting is still not there. </t>
    </r>
    <r>
      <rPr>
        <b/>
        <sz val="10"/>
        <color rgb="FF000000"/>
        <rFont val="Aptos Narrow"/>
        <scheme val="minor"/>
      </rPr>
      <t xml:space="preserve">Next update : 03/10 16:00. 
</t>
    </r>
    <r>
      <rPr>
        <sz val="11"/>
        <color theme="1"/>
        <rFont val="Aptos Narrow"/>
        <family val="2"/>
        <scheme val="minor"/>
      </rPr>
      <t xml:space="preserve"> 
11:20 - Post the actions carried out by the DBA team to free up space, access to WCS was confirmed as restored at 11:04. Site Operations are being brought back online and this is expected to take a total of 35 minutes from around 11:10. WCS is being brought back up by SSI, Control M jobs will be released and then Automation will be restarted. Onsite Castle Donington IT confirmed they can see services coming back. Pending Events which were at 100k has been cleared. CD ops will continue to monitor and provide updates into the MIM bridge. </t>
    </r>
    <r>
      <rPr>
        <b/>
        <sz val="10"/>
        <color rgb="FF000000"/>
        <rFont val="Aptos Narrow"/>
        <scheme val="minor"/>
      </rPr>
      <t xml:space="preserve">Next update : 03/10 12:30
</t>
    </r>
    <r>
      <rPr>
        <sz val="11"/>
        <color theme="1"/>
        <rFont val="Aptos Narrow"/>
        <family val="2"/>
        <scheme val="minor"/>
      </rPr>
      <t xml:space="preserve">Current backlog of messages is being validated by the guys onsite at CD.
10:28: The WCS application is inaccessible in CD, we are have raised a Sev1 case with the vendor SSI  vendor. The colleagues are encountering ' an expected error occurred message' while attempting login to WCS application. </t>
    </r>
  </si>
  <si>
    <t>Oracle DBA</t>
  </si>
  <si>
    <t xml:space="preserve">The issue was caused as the disk space in WCS DB node 1 (currently active) was maxed out as the archival log deletion script was not configured in WCS DB node 1. The archival log deletion script has been configured, and a script will be configured to monitor and notify the Oracle team on the status of the disk space. </t>
  </si>
  <si>
    <t>INC377</t>
  </si>
  <si>
    <t>INC000090943538</t>
  </si>
  <si>
    <t>TRAS (Temporary Remote Access Solution) inaccessible impacting connectivity to cloud servers</t>
  </si>
  <si>
    <t>Being Monitored</t>
  </si>
  <si>
    <t>1.The  Foods FLIC application Go-Live is significantly impacted due to inaccessibility of the FLIC virtual machines and inability to activate jobs and reports. As a result, critical reports—NDC FV, ELVIS, and FV vs Caps—will not be available until 7th October. These reports are essential for Supply Chain and Flow Planning teams to forecast pick volumes at NDCs/RDCs and support logistics and transport planning, especially during peak periods. The delay in the Go-Live has directly impacted report availability and stakeholder operations.
2. GXO and GIST colleagues are unable to access Foods Duty Master application BWS exports to EU locations are currently disrupted, resulting in significant manual intervention for BWS (Beer Wine Spirit) export to EU locations causing a potential risk of penalties from HMRC if manual declarations are inaccurate.
3. BPS &amp; India Sourcing office colleagues have reported issues affecting BAU operations</t>
  </si>
  <si>
    <r>
      <rPr>
        <sz val="11"/>
        <color theme="1"/>
        <rFont val="Aptos Narrow"/>
        <family val="2"/>
        <scheme val="minor"/>
      </rPr>
      <t xml:space="preserve">16:20 - TRAS connectivity to cloud servers has remained stable, with no new issues reported. The current firewall bypass for TRAS traffic will continue for up to 24 hours, as previously approved by Infosec.
 Initial analysis suggests the spike in firewall denials was due to increased traffic from Microsoft Azure Frontdoor to a specific Microsoft public IP. Microsoft is investigating potential DDoS mitigation and scaling events that may have impacted the Azure firewall.
 A follow-up call is scheduled for 17:30 to review Microsoft's findings on the root cause and proposed mitigation plan.
</t>
    </r>
    <r>
      <rPr>
        <b/>
        <sz val="10"/>
        <color rgb="FF000000"/>
        <rFont val="Aptos Narrow"/>
        <family val="2"/>
        <scheme val="minor"/>
      </rPr>
      <t xml:space="preserve"> Next update at 19:00</t>
    </r>
    <r>
      <rPr>
        <sz val="11"/>
        <color theme="1"/>
        <rFont val="Aptos Narrow"/>
        <family val="2"/>
        <scheme val="minor"/>
      </rPr>
      <t xml:space="preserve">
15:00 - A decision was made in coordination with Cyber Sec to temporarily bypass TRAS traffic from the Azure Firewall via the Network Security Group (NSG) for specific traffic flows. This change has been implemented, and TRAS access to the cloud virtual machines was successfully restored at 14:40.
Note: Azure firewall was just acting as a bypass (router mode) and not brokering connections - the firewalling was done through NSG ( Network security groups ) which will stay enforced through the bypass period.
Cyber Security has authorised this bypass for a maximum duration of 24 hours. In parallel, the Microsoft public interface, identified as the source of the traffic surge that caused the Azure Firewall to enter a denial-of-service state has been disabled.
Additional measures have been taken to review firewall configurations that permit public interface communication and to ensure that all firewalls are successfully logging into Microsoft Sentinel.
The primary next step is for the Cloud team to continue working with Microsoft to determine the root cause and to identify the necessary remediation to safely reinstate ZPA traffic through the Azure Firewall. </t>
    </r>
    <r>
      <rPr>
        <b/>
        <sz val="10"/>
        <color rgb="FF000000"/>
        <rFont val="Aptos Narrow"/>
        <scheme val="minor"/>
      </rPr>
      <t xml:space="preserve">Next update at 17:00.
</t>
    </r>
    <r>
      <rPr>
        <sz val="11"/>
        <color theme="1"/>
        <rFont val="Aptos Narrow"/>
        <family val="2"/>
        <scheme val="minor"/>
      </rPr>
      <t xml:space="preserve">
14:15 - Although the issue was temporarily mitigated by disabling the Azure Firewall, this approach is neither recommended nor sustainable, as it compromises the overall security posture. During the joint investigation with Microsoft, it was discovered that the traffic spike observed around 9 a.m. on the Azure firewall originated from a public IP address or interface not protected by Microsoft. This unfiltered traffic overwhelmed the Azure Firewall, causing it to stop processing traffic to the cloud virtual machines.
To address this, we are now implementing targeted rules on the Azure Firewall to restrict traffic from the identified public interface. Once these rules are in place, we will further investigate the issue to identify the cause.</t>
    </r>
    <r>
      <rPr>
        <b/>
        <sz val="10"/>
        <color rgb="FF000000"/>
        <rFont val="Aptos Narrow"/>
        <scheme val="minor"/>
      </rPr>
      <t xml:space="preserve">.Next update at 15:30.
</t>
    </r>
    <r>
      <rPr>
        <sz val="11"/>
        <color theme="1"/>
        <rFont val="Aptos Narrow"/>
        <family val="2"/>
        <scheme val="minor"/>
      </rPr>
      <t>13:30 - The issue has been resolved following the temporary disablement of the Azure firewall. Initial analysis indicates that a surge in traffic around the time of the incident likely disrupted communication between TRAS and the Cloud VMs via the firewall. A support case has been raised with Microsoft to investigate the root cause and determine a safe path to reinstate the firewall.In the meantime, we are assessing the risk of keeping the firewall isolated. The service will continue to operate under the current workaround until a final decision is made.</t>
    </r>
    <r>
      <rPr>
        <b/>
        <sz val="10"/>
        <color rgb="FF000000"/>
        <rFont val="Aptos Narrow"/>
        <scheme val="minor"/>
      </rPr>
      <t xml:space="preserve"> Next update at 14:30
</t>
    </r>
    <r>
      <rPr>
        <sz val="11"/>
        <color theme="1"/>
        <rFont val="Aptos Narrow"/>
        <family val="2"/>
        <scheme val="minor"/>
      </rPr>
      <t xml:space="preserve"> 
12:50 : Following the approval from CyberSec, we have agreed to temporarily disable the Azure Firewall between the TRS connector and the cloud VMs for a period of 30 minutes to determine whether this resolves the ongoing issue.The decision is based on the observation by the Cloud team of a spike in traffic throughput on the Azure Firewall around 9 a.m, which coincides with the timing of the issue.
During the disablement window, validation activities will be conducted to assess system performance and connectivity. In parallel, we have agreed with CyberSec to evaluate the associated risk posture should the firewall remain disabled for a longer duration. Additionally, we will work to identify the root cause of the issue and potential remediation actions to prevent recurrence. </t>
    </r>
    <r>
      <rPr>
        <b/>
        <sz val="10"/>
        <color rgb="FF000000"/>
        <rFont val="Aptos Narrow"/>
        <scheme val="minor"/>
      </rPr>
      <t xml:space="preserve">Next update at 14:00
</t>
    </r>
    <r>
      <rPr>
        <sz val="11"/>
        <color theme="1"/>
        <rFont val="Aptos Narrow"/>
        <family val="2"/>
        <scheme val="minor"/>
      </rPr>
      <t xml:space="preserve">
11:46: Actions were taken involving restart of the Zscaler application connector service and the associated cloud virtual machines, however, the issue continue to exist. We are further discussing on bypassing the Azure firewall for the TRAS solution, we will seek Cyber approval before testing the solution. , </t>
    </r>
    <r>
      <rPr>
        <b/>
        <sz val="10"/>
        <color rgb="FF000000"/>
        <rFont val="Aptos Narrow"/>
        <scheme val="minor"/>
      </rPr>
      <t xml:space="preserve">Next update: 13:00, 06/10/2025
</t>
    </r>
    <r>
      <rPr>
        <sz val="11"/>
        <color theme="1"/>
        <rFont val="Aptos Narrow"/>
        <family val="2"/>
        <scheme val="minor"/>
      </rPr>
      <t>10:00 - We have the relevant people on a MIM call, TRAS, Cloud, Network, Server etc., actively investigating in the call</t>
    </r>
  </si>
  <si>
    <t>Srisanthinathan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</si>
</sst>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dd/mm/yyyy\ hh:mm:ss"/>
  </numFmts>
  <fonts count="14">
    <font>
      <sz val="11"/>
      <color theme="1"/>
      <name val="Aptos Narrow"/>
      <family val="2"/>
      <scheme val="minor"/>
    </font>
    <font>
      <b/>
      <sz val="10"/>
      <color rgb="FFFFFFFF"/>
      <name val="Aptos Narrow"/>
      <family val="2"/>
      <scheme val="minor"/>
    </font>
    <font>
      <sz val="10"/>
      <color rgb="FF000000"/>
      <name val="Aptos Narrow"/>
      <family val="2"/>
      <scheme val="minor"/>
    </font>
    <font>
      <u/>
      <sz val="10"/>
      <color rgb="FF000000"/>
      <name val="Aptos Narrow"/>
      <family val="2"/>
      <scheme val="minor"/>
    </font>
    <font>
      <sz val="10"/>
      <color theme="1"/>
      <name val="Aptos Narrow"/>
      <family val="2"/>
      <scheme val="minor"/>
    </font>
    <font>
      <b/>
      <sz val="10"/>
      <color rgb="FF000000"/>
      <name val="Aptos Narrow"/>
      <family val="2"/>
      <scheme val="minor"/>
    </font>
    <font>
      <sz val="10"/>
      <color rgb="FF000000"/>
      <name val="Arial"/>
      <family val="2"/>
    </font>
    <font>
      <b/>
      <sz val="10"/>
      <color rgb="FF000000"/>
      <name val="Arial"/>
      <family val="2"/>
    </font>
    <font>
      <sz val="10"/>
      <color rgb="FF1F1F1F"/>
      <name val="Aptos Narrow"/>
      <family val="2"/>
      <scheme val="minor"/>
    </font>
    <font>
      <sz val="11"/>
      <color rgb="FF000000"/>
      <name val="Aptos Narrow"/>
      <family val="2"/>
    </font>
    <font>
      <b/>
      <u/>
      <sz val="10"/>
      <color rgb="FF000000"/>
      <name val="Aptos Narrow"/>
      <family val="2"/>
      <scheme val="minor"/>
    </font>
    <font>
      <sz val="10"/>
      <color rgb="FF000000"/>
      <name val="Arial"/>
    </font>
    <font>
      <b/>
      <sz val="10"/>
      <color rgb="FF000000"/>
      <name val="Aptos Narrow"/>
      <scheme val="minor"/>
    </font>
    <font>
      <b/>
      <sz val="9"/>
      <color indexed="81"/>
      <name val="Tahoma"/>
      <family val="2"/>
    </font>
  </fonts>
  <fills count="7">
    <fill>
      <patternFill patternType="none"/>
    </fill>
    <fill>
      <patternFill patternType="gray125"/>
    </fill>
    <fill>
      <patternFill patternType="solid">
        <fgColor rgb="FF000000"/>
        <bgColor rgb="FF000000"/>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FF9900"/>
        <bgColor rgb="FFFF99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3">
    <xf numFmtId="0" fontId="0" fillId="0" borderId="0" xfId="0"/>
    <xf numFmtId="0" fontId="2" fillId="0" borderId="1" xfId="0" applyFont="1" applyBorder="1" applyAlignment="1">
      <alignment vertical="center"/>
    </xf>
    <xf numFmtId="0" fontId="0" fillId="0" borderId="1" xfId="0" applyBorder="1" applyAlignment="1">
      <alignment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14" fontId="2" fillId="3" borderId="1" xfId="0" applyNumberFormat="1" applyFont="1" applyFill="1" applyBorder="1" applyAlignment="1">
      <alignment horizontal="center" vertical="center"/>
    </xf>
    <xf numFmtId="21" fontId="2" fillId="3" borderId="1" xfId="0" applyNumberFormat="1" applyFont="1" applyFill="1" applyBorder="1" applyAlignment="1">
      <alignment horizontal="center"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2" fillId="3" borderId="1" xfId="0" applyFont="1" applyFill="1" applyBorder="1" applyAlignment="1">
      <alignment vertical="center"/>
    </xf>
    <xf numFmtId="0" fontId="2" fillId="3" borderId="1" xfId="0" applyFont="1" applyFill="1" applyBorder="1" applyAlignment="1">
      <alignment vertical="top"/>
    </xf>
    <xf numFmtId="165" fontId="0" fillId="3" borderId="1" xfId="0" applyNumberFormat="1" applyFill="1" applyBorder="1" applyAlignment="1">
      <alignment horizontal="left" vertical="center"/>
    </xf>
    <xf numFmtId="165" fontId="2" fillId="3" borderId="1" xfId="0" applyNumberFormat="1" applyFont="1" applyFill="1" applyBorder="1" applyAlignment="1">
      <alignment horizontal="left" vertical="center"/>
    </xf>
    <xf numFmtId="0" fontId="2" fillId="4" borderId="1" xfId="0" applyFont="1" applyFill="1" applyBorder="1" applyAlignment="1">
      <alignment horizontal="center" vertical="center"/>
    </xf>
    <xf numFmtId="0" fontId="0" fillId="0" borderId="1" xfId="0" applyBorder="1" applyAlignment="1">
      <alignment horizontal="left" vertical="center"/>
    </xf>
    <xf numFmtId="0" fontId="2" fillId="4" borderId="1" xfId="0" applyFont="1" applyFill="1" applyBorder="1" applyAlignment="1">
      <alignment horizontal="left" vertical="center"/>
    </xf>
    <xf numFmtId="49" fontId="2" fillId="0" borderId="1" xfId="0" applyNumberFormat="1" applyFont="1" applyBorder="1" applyAlignment="1">
      <alignment vertical="top"/>
    </xf>
    <xf numFmtId="0" fontId="2" fillId="3" borderId="1" xfId="0" quotePrefix="1" applyFont="1" applyFill="1" applyBorder="1" applyAlignment="1">
      <alignment horizontal="left" vertical="center"/>
    </xf>
    <xf numFmtId="0" fontId="2" fillId="3" borderId="1" xfId="0" quotePrefix="1" applyFont="1" applyFill="1" applyBorder="1" applyAlignment="1">
      <alignment vertical="center"/>
    </xf>
    <xf numFmtId="0" fontId="2" fillId="4" borderId="1" xfId="0" applyFont="1" applyFill="1" applyBorder="1" applyAlignment="1">
      <alignment vertical="top"/>
    </xf>
    <xf numFmtId="0" fontId="2" fillId="4" borderId="1" xfId="0" applyFont="1" applyFill="1" applyBorder="1" applyAlignment="1">
      <alignment vertical="center"/>
    </xf>
    <xf numFmtId="14" fontId="2" fillId="0" borderId="1" xfId="0" applyNumberFormat="1" applyFont="1" applyBorder="1" applyAlignment="1">
      <alignment horizontal="center" vertical="center"/>
    </xf>
    <xf numFmtId="21" fontId="2" fillId="0" borderId="1" xfId="0" applyNumberFormat="1" applyFont="1" applyBorder="1" applyAlignment="1">
      <alignment horizontal="center" vertical="center"/>
    </xf>
    <xf numFmtId="0" fontId="2" fillId="0" borderId="1" xfId="0" applyFont="1" applyBorder="1" applyAlignment="1">
      <alignment vertical="top"/>
    </xf>
    <xf numFmtId="0" fontId="2" fillId="0" borderId="1" xfId="0" applyFont="1" applyBorder="1" applyAlignment="1">
      <alignment horizontal="left" vertical="top"/>
    </xf>
    <xf numFmtId="0" fontId="6" fillId="0" borderId="1" xfId="0" applyFont="1" applyBorder="1" applyAlignment="1">
      <alignment vertical="top"/>
    </xf>
    <xf numFmtId="0" fontId="0" fillId="0" borderId="1" xfId="0" applyBorder="1" applyAlignment="1">
      <alignment horizontal="center" vertical="center"/>
    </xf>
    <xf numFmtId="0" fontId="3" fillId="0" borderId="1" xfId="0" applyFont="1" applyBorder="1" applyAlignment="1">
      <alignment vertical="center"/>
    </xf>
    <xf numFmtId="21" fontId="0" fillId="0" borderId="1" xfId="0" applyNumberFormat="1" applyBorder="1" applyAlignment="1">
      <alignment horizontal="center" vertical="center"/>
    </xf>
    <xf numFmtId="14" fontId="4" fillId="4" borderId="1" xfId="0" applyNumberFormat="1" applyFont="1" applyFill="1" applyBorder="1" applyAlignment="1">
      <alignment horizontal="center" vertical="center"/>
    </xf>
    <xf numFmtId="21" fontId="4" fillId="4"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4" fillId="0" borderId="1" xfId="0" applyFont="1" applyBorder="1" applyAlignment="1">
      <alignment horizontal="left" vertical="center"/>
    </xf>
    <xf numFmtId="0" fontId="0" fillId="0" borderId="1" xfId="0" applyBorder="1" applyAlignment="1">
      <alignment vertical="top"/>
    </xf>
    <xf numFmtId="0" fontId="8" fillId="4" borderId="1" xfId="0" applyFont="1" applyFill="1" applyBorder="1" applyAlignment="1">
      <alignment horizontal="left" vertical="center"/>
    </xf>
    <xf numFmtId="0" fontId="8" fillId="0" borderId="1" xfId="0" applyFont="1" applyBorder="1" applyAlignment="1">
      <alignment horizontal="left" vertical="center"/>
    </xf>
    <xf numFmtId="49" fontId="2" fillId="0" borderId="1" xfId="0" applyNumberFormat="1" applyFont="1" applyBorder="1" applyAlignment="1">
      <alignment horizontal="center" vertical="center"/>
    </xf>
    <xf numFmtId="14" fontId="2" fillId="4" borderId="1" xfId="0" applyNumberFormat="1" applyFont="1" applyFill="1" applyBorder="1" applyAlignment="1">
      <alignment horizontal="center" vertical="center"/>
    </xf>
    <xf numFmtId="21" fontId="2" fillId="4" borderId="1" xfId="0" applyNumberFormat="1" applyFont="1" applyFill="1" applyBorder="1" applyAlignment="1">
      <alignment horizontal="center" vertical="center"/>
    </xf>
    <xf numFmtId="49" fontId="0" fillId="0" borderId="1" xfId="0" applyNumberFormat="1" applyBorder="1" applyAlignment="1">
      <alignment vertical="top"/>
    </xf>
    <xf numFmtId="49" fontId="0" fillId="0" borderId="1" xfId="0" applyNumberFormat="1" applyBorder="1" applyAlignment="1">
      <alignment horizontal="center" vertical="center"/>
    </xf>
    <xf numFmtId="0" fontId="9" fillId="0" borderId="1" xfId="0" applyFont="1" applyBorder="1" applyAlignment="1">
      <alignment horizontal="left" vertical="center"/>
    </xf>
    <xf numFmtId="20" fontId="6" fillId="0" borderId="1" xfId="0" applyNumberFormat="1" applyFont="1" applyBorder="1" applyAlignment="1">
      <alignment vertical="top"/>
    </xf>
    <xf numFmtId="165" fontId="0" fillId="0" borderId="1" xfId="0" applyNumberFormat="1" applyBorder="1" applyAlignment="1">
      <alignment horizontal="left" vertical="center"/>
    </xf>
    <xf numFmtId="18" fontId="2" fillId="0" borderId="1" xfId="0" applyNumberFormat="1" applyFont="1" applyBorder="1" applyAlignment="1">
      <alignment vertical="top"/>
    </xf>
    <xf numFmtId="14" fontId="0" fillId="0" borderId="1" xfId="0" applyNumberFormat="1" applyBorder="1" applyAlignment="1">
      <alignment horizontal="center" vertical="center"/>
    </xf>
    <xf numFmtId="0" fontId="0" fillId="0" borderId="1" xfId="0" applyBorder="1"/>
    <xf numFmtId="165" fontId="2" fillId="0" borderId="1" xfId="0" applyNumberFormat="1" applyFont="1" applyBorder="1" applyAlignment="1">
      <alignment horizontal="left" vertical="center"/>
    </xf>
    <xf numFmtId="22" fontId="0" fillId="0" borderId="1" xfId="0" applyNumberFormat="1" applyBorder="1" applyAlignment="1">
      <alignment horizontal="left" vertical="center"/>
    </xf>
    <xf numFmtId="22" fontId="2" fillId="0" borderId="1" xfId="0" applyNumberFormat="1" applyFont="1" applyBorder="1" applyAlignment="1">
      <alignment horizontal="left" vertical="center"/>
    </xf>
    <xf numFmtId="0" fontId="2" fillId="0" borderId="1" xfId="0" applyFont="1" applyBorder="1"/>
    <xf numFmtId="20" fontId="2" fillId="0" borderId="1" xfId="0" applyNumberFormat="1" applyFont="1" applyBorder="1" applyAlignment="1">
      <alignment horizontal="center" vertical="center"/>
    </xf>
    <xf numFmtId="0" fontId="2" fillId="4" borderId="1" xfId="0" applyFont="1" applyFill="1" applyBorder="1" applyAlignment="1">
      <alignment horizontal="center" vertical="center" wrapText="1"/>
    </xf>
    <xf numFmtId="14" fontId="2" fillId="4" borderId="1" xfId="0" applyNumberFormat="1" applyFont="1" applyFill="1" applyBorder="1" applyAlignment="1">
      <alignment horizontal="center" vertical="center" wrapText="1"/>
    </xf>
    <xf numFmtId="20" fontId="2"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14" fontId="2" fillId="5" borderId="1" xfId="0" applyNumberFormat="1" applyFont="1" applyFill="1" applyBorder="1" applyAlignment="1">
      <alignment horizontal="center" vertical="center" wrapText="1"/>
    </xf>
    <xf numFmtId="20" fontId="2" fillId="5" borderId="1" xfId="0" applyNumberFormat="1" applyFont="1" applyFill="1" applyBorder="1" applyAlignment="1">
      <alignment horizontal="center" vertical="center" wrapText="1"/>
    </xf>
    <xf numFmtId="14" fontId="0" fillId="4" borderId="1" xfId="0" applyNumberFormat="1" applyFill="1" applyBorder="1" applyAlignment="1">
      <alignment horizontal="center"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2" fillId="5" borderId="1" xfId="0" applyFont="1" applyFill="1" applyBorder="1" applyAlignment="1">
      <alignment vertical="top"/>
    </xf>
    <xf numFmtId="0" fontId="0" fillId="4" borderId="1" xfId="0" applyFill="1" applyBorder="1" applyAlignment="1">
      <alignment vertical="top"/>
    </xf>
    <xf numFmtId="0" fontId="2" fillId="5" borderId="1" xfId="0" applyFont="1" applyFill="1" applyBorder="1" applyAlignment="1">
      <alignment vertical="center"/>
    </xf>
    <xf numFmtId="0" fontId="0" fillId="5" borderId="1" xfId="0" applyFill="1" applyBorder="1"/>
    <xf numFmtId="165" fontId="0" fillId="4" borderId="1" xfId="0" applyNumberFormat="1" applyFill="1" applyBorder="1" applyAlignment="1">
      <alignment horizontal="left" vertical="center" wrapText="1"/>
    </xf>
    <xf numFmtId="165" fontId="0" fillId="5" borderId="1" xfId="0" applyNumberFormat="1" applyFill="1" applyBorder="1" applyAlignment="1">
      <alignment horizontal="left" vertical="center" wrapText="1"/>
    </xf>
    <xf numFmtId="0" fontId="0" fillId="4" borderId="1" xfId="0" applyFill="1" applyBorder="1"/>
    <xf numFmtId="165" fontId="0" fillId="0" borderId="1" xfId="0" applyNumberFormat="1" applyBorder="1"/>
    <xf numFmtId="0" fontId="1" fillId="2" borderId="1" xfId="0" applyFont="1" applyFill="1" applyBorder="1" applyAlignment="1">
      <alignment horizontal="center" vertical="center" wrapText="1"/>
    </xf>
    <xf numFmtId="0" fontId="11" fillId="0" borderId="1" xfId="0" applyFont="1" applyBorder="1" applyAlignment="1">
      <alignment vertical="top"/>
    </xf>
  </cellXfs>
  <cellStyles count="1">
    <cellStyle name="Normal" xfId="0" builtinId="0"/>
  </cellStyles>
  <dxfs count="53">
    <dxf>
      <font>
        <b/>
        <i val="0"/>
        <color theme="0"/>
      </font>
      <fill>
        <patternFill>
          <bgColor theme="4" tint="-0.24994659260841701"/>
        </patternFill>
      </fill>
    </dxf>
    <dxf>
      <fill>
        <patternFill>
          <bgColor rgb="FF7030A0"/>
        </patternFill>
      </fill>
    </dxf>
    <dxf>
      <font>
        <b/>
        <i val="0"/>
        <color theme="1"/>
      </font>
      <fill>
        <patternFill>
          <bgColor theme="4" tint="0.39994506668294322"/>
        </patternFill>
      </fill>
    </dxf>
    <dxf>
      <font>
        <b/>
        <i val="0"/>
      </font>
      <fill>
        <patternFill>
          <bgColor rgb="FF92D050"/>
        </patternFill>
      </fill>
    </dxf>
    <dxf>
      <font>
        <b/>
        <i val="0"/>
      </font>
      <fill>
        <patternFill>
          <bgColor rgb="FFFFC000"/>
        </patternFill>
      </fill>
    </dxf>
    <dxf>
      <font>
        <b/>
        <i val="0"/>
        <color theme="0"/>
      </font>
      <fill>
        <patternFill>
          <bgColor theme="1"/>
        </patternFill>
      </fill>
    </dxf>
    <dxf>
      <font>
        <b/>
        <i val="0"/>
        <color theme="0"/>
      </font>
      <fill>
        <patternFill>
          <bgColor theme="4" tint="-0.499984740745262"/>
        </patternFill>
      </fill>
    </dxf>
    <dxf>
      <font>
        <b/>
        <i val="0"/>
      </font>
      <fill>
        <patternFill patternType="solid">
          <fgColor rgb="FFF4CCCC"/>
          <bgColor rgb="FFF4CCCC"/>
        </patternFill>
      </fill>
    </dxf>
    <dxf>
      <font>
        <b/>
        <i val="0"/>
      </font>
      <fill>
        <patternFill patternType="solid">
          <fgColor rgb="FFEA9999"/>
          <bgColor rgb="FFEA9999"/>
        </patternFill>
      </fill>
    </dxf>
    <dxf>
      <font>
        <b/>
        <i val="0"/>
      </font>
      <fill>
        <patternFill>
          <bgColor rgb="FFFFC000"/>
        </patternFill>
      </fill>
    </dxf>
    <dxf>
      <font>
        <b/>
        <i val="0"/>
      </font>
      <fill>
        <patternFill>
          <bgColor theme="0" tint="-0.14996795556505021"/>
        </patternFill>
      </fill>
    </dxf>
    <dxf>
      <font>
        <b/>
        <i val="0"/>
        <color theme="0"/>
      </font>
      <fill>
        <patternFill>
          <bgColor theme="4" tint="-0.24994659260841701"/>
        </patternFill>
      </fill>
    </dxf>
    <dxf>
      <fill>
        <patternFill>
          <bgColor rgb="FF7030A0"/>
        </patternFill>
      </fill>
    </dxf>
    <dxf>
      <font>
        <b/>
        <i val="0"/>
        <color theme="1"/>
      </font>
      <fill>
        <patternFill>
          <bgColor theme="4" tint="0.39994506668294322"/>
        </patternFill>
      </fill>
    </dxf>
    <dxf>
      <font>
        <b/>
        <i val="0"/>
      </font>
      <fill>
        <patternFill>
          <bgColor rgb="FF92D050"/>
        </patternFill>
      </fill>
    </dxf>
    <dxf>
      <font>
        <b/>
        <i val="0"/>
      </font>
      <fill>
        <patternFill>
          <bgColor rgb="FFFFC000"/>
        </patternFill>
      </fill>
    </dxf>
    <dxf>
      <font>
        <b/>
        <i val="0"/>
        <color theme="0"/>
      </font>
      <fill>
        <patternFill>
          <bgColor theme="1"/>
        </patternFill>
      </fill>
    </dxf>
    <dxf>
      <font>
        <b/>
        <i val="0"/>
        <color theme="0"/>
      </font>
      <fill>
        <patternFill>
          <bgColor theme="4" tint="-0.499984740745262"/>
        </patternFill>
      </fill>
    </dxf>
    <dxf>
      <font>
        <b/>
        <i val="0"/>
      </font>
      <fill>
        <patternFill patternType="solid">
          <fgColor rgb="FFF4CCCC"/>
          <bgColor rgb="FFF4CCCC"/>
        </patternFill>
      </fill>
    </dxf>
    <dxf>
      <font>
        <b/>
        <i val="0"/>
      </font>
      <fill>
        <patternFill patternType="solid">
          <fgColor rgb="FFEA9999"/>
          <bgColor rgb="FFEA9999"/>
        </patternFill>
      </fill>
    </dxf>
    <dxf>
      <font>
        <b/>
        <i val="0"/>
      </font>
      <fill>
        <patternFill>
          <bgColor rgb="FFFFC000"/>
        </patternFill>
      </fill>
    </dxf>
    <dxf>
      <font>
        <b/>
        <i val="0"/>
      </font>
      <fill>
        <patternFill>
          <bgColor theme="0" tint="-0.14996795556505021"/>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b/>
        <i val="0"/>
        <color theme="0"/>
      </font>
      <fill>
        <patternFill>
          <bgColor theme="4" tint="-0.24994659260841701"/>
        </patternFill>
      </fill>
    </dxf>
    <dxf>
      <fill>
        <patternFill>
          <bgColor rgb="FF7030A0"/>
        </patternFill>
      </fill>
    </dxf>
    <dxf>
      <font>
        <b/>
        <i val="0"/>
        <color theme="1"/>
      </font>
      <fill>
        <patternFill>
          <bgColor theme="4" tint="0.39994506668294322"/>
        </patternFill>
      </fill>
    </dxf>
    <dxf>
      <font>
        <b/>
        <i val="0"/>
      </font>
      <fill>
        <patternFill>
          <bgColor rgb="FF92D050"/>
        </patternFill>
      </fill>
    </dxf>
    <dxf>
      <font>
        <b/>
        <i val="0"/>
      </font>
      <fill>
        <patternFill>
          <bgColor rgb="FFFFC000"/>
        </patternFill>
      </fill>
    </dxf>
    <dxf>
      <font>
        <b/>
        <i val="0"/>
        <color theme="0"/>
      </font>
      <fill>
        <patternFill>
          <bgColor theme="1"/>
        </patternFill>
      </fill>
    </dxf>
    <dxf>
      <font>
        <b/>
        <i val="0"/>
        <color theme="0"/>
      </font>
      <fill>
        <patternFill>
          <bgColor theme="4" tint="-0.499984740745262"/>
        </patternFill>
      </fill>
    </dxf>
    <dxf>
      <font>
        <b/>
        <i val="0"/>
        <color theme="0"/>
      </font>
      <fill>
        <patternFill>
          <bgColor theme="4" tint="-0.24994659260841701"/>
        </patternFill>
      </fill>
    </dxf>
    <dxf>
      <font>
        <b/>
        <i val="0"/>
        <color theme="1"/>
      </font>
      <fill>
        <patternFill>
          <bgColor theme="4" tint="0.39994506668294322"/>
        </patternFill>
      </fill>
    </dxf>
    <dxf>
      <font>
        <b/>
        <i val="0"/>
      </font>
      <fill>
        <patternFill>
          <bgColor rgb="FF92D050"/>
        </patternFill>
      </fill>
    </dxf>
    <dxf>
      <font>
        <b/>
        <i val="0"/>
      </font>
      <fill>
        <patternFill>
          <bgColor rgb="FFFFC000"/>
        </patternFill>
      </fill>
    </dxf>
    <dxf>
      <font>
        <b/>
        <i val="0"/>
        <color theme="0"/>
      </font>
      <fill>
        <patternFill>
          <bgColor theme="1"/>
        </patternFill>
      </fill>
    </dxf>
    <dxf>
      <font>
        <b/>
        <i val="0"/>
        <color theme="0"/>
      </font>
      <fill>
        <patternFill>
          <bgColor theme="4" tint="-0.499984740745262"/>
        </patternFill>
      </fill>
    </dxf>
    <dxf>
      <fill>
        <patternFill>
          <bgColor rgb="FF7030A0"/>
        </patternFill>
      </fill>
    </dxf>
    <dxf>
      <font>
        <b/>
        <i val="0"/>
        <color theme="0"/>
      </font>
      <fill>
        <patternFill>
          <bgColor theme="4" tint="-0.24994659260841701"/>
        </patternFill>
      </fill>
    </dxf>
    <dxf>
      <font>
        <b/>
        <i val="0"/>
        <color theme="1"/>
      </font>
      <fill>
        <patternFill>
          <bgColor theme="4" tint="0.39994506668294322"/>
        </patternFill>
      </fill>
    </dxf>
    <dxf>
      <font>
        <b/>
        <i val="0"/>
      </font>
      <fill>
        <patternFill>
          <bgColor rgb="FF92D050"/>
        </patternFill>
      </fill>
    </dxf>
    <dxf>
      <font>
        <b/>
        <i val="0"/>
      </font>
      <fill>
        <patternFill>
          <bgColor rgb="FFFFC000"/>
        </patternFill>
      </fill>
    </dxf>
    <dxf>
      <font>
        <b/>
        <i val="0"/>
        <color theme="0"/>
      </font>
      <fill>
        <patternFill>
          <bgColor theme="1"/>
        </patternFill>
      </fill>
    </dxf>
    <dxf>
      <font>
        <b/>
        <i val="0"/>
        <color theme="0"/>
      </font>
      <fill>
        <patternFill>
          <bgColor theme="4" tint="-0.499984740745262"/>
        </patternFill>
      </fill>
    </dxf>
    <dxf>
      <fill>
        <patternFill>
          <bgColor rgb="FF7030A0"/>
        </patternFill>
      </fill>
    </dxf>
    <dxf>
      <font>
        <b/>
        <i val="0"/>
      </font>
      <fill>
        <patternFill patternType="solid">
          <fgColor rgb="FFF4CCCC"/>
          <bgColor rgb="FFF4CCCC"/>
        </patternFill>
      </fill>
    </dxf>
    <dxf>
      <font>
        <b/>
        <i val="0"/>
      </font>
      <fill>
        <patternFill patternType="solid">
          <fgColor rgb="FFEA9999"/>
          <bgColor rgb="FFEA9999"/>
        </patternFill>
      </fill>
    </dxf>
    <dxf>
      <font>
        <b/>
        <i val="0"/>
      </font>
      <fill>
        <patternFill>
          <bgColor rgb="FFFFC000"/>
        </patternFill>
      </fill>
    </dxf>
    <dxf>
      <font>
        <b/>
        <i val="0"/>
      </font>
      <fill>
        <patternFill>
          <bgColor theme="0" tint="-0.14996795556505021"/>
        </patternFill>
      </fill>
    </dxf>
    <dxf>
      <fill>
        <patternFill patternType="solid">
          <fgColor rgb="FFF6F8F9"/>
          <bgColor rgb="FFF6F8F9"/>
        </patternFill>
      </fill>
    </dxf>
    <dxf>
      <fill>
        <patternFill patternType="solid">
          <fgColor rgb="FFFFFFFF"/>
          <bgColor rgb="FFFFFFFF"/>
        </patternFill>
      </fill>
    </dxf>
    <dxf>
      <fill>
        <patternFill patternType="solid">
          <fgColor rgb="FF000000"/>
          <bgColor rgb="FF000000"/>
        </patternFill>
      </fill>
    </dxf>
  </dxfs>
  <tableStyles count="1" defaultTableStyle="TableStyleMedium2" defaultPivotStyle="PivotStyleLight16">
    <tableStyle name="Incident Log-style" pivot="0" count="3" xr9:uid="{364D8D24-D801-4F6D-9369-A43275D1B506}">
      <tableStyleElement type="headerRow" dxfId="52"/>
      <tableStyleElement type="firstRowStripe" dxfId="51"/>
      <tableStyleElement type="second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cscomprod-my.sharepoint.com/personal/162627_tcs_com/Documents/Microsoft%20Teams%20Chat%20Files/Inc-Dump.xlsx" TargetMode="External"/><Relationship Id="rId1" Type="http://schemas.openxmlformats.org/officeDocument/2006/relationships/externalLinkPath" Target="https://tcscomprod-my.sharepoint.com/personal/162627_tcs_com/Documents/Microsoft%20Teams%20Chat%20Files/Inc-Du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UvsRecovery"/>
      <sheetName val="Sheet4"/>
      <sheetName val="Sheet1"/>
      <sheetName val="Sheet2"/>
      <sheetName val="Data"/>
      <sheetName val="BAUvsRec-Upd"/>
      <sheetName val="Sheet9"/>
      <sheetName val="Data-Upd"/>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A1" t="str">
            <v>Incident Reference</v>
          </cell>
          <cell r="B1" t="str">
            <v>Incident Reported Date</v>
          </cell>
          <cell r="C1" t="str">
            <v>Incident Description</v>
          </cell>
          <cell r="D1" t="str">
            <v>Priority</v>
          </cell>
          <cell r="E1" t="str">
            <v>Status</v>
          </cell>
          <cell r="F1" t="str">
            <v>Programmatic theme impacted</v>
          </cell>
          <cell r="G1" t="str">
            <v>Impacted Portfolio-Upd</v>
          </cell>
        </row>
        <row r="2">
          <cell r="A2" t="str">
            <v>INC147</v>
          </cell>
          <cell r="B2">
            <v>45839</v>
          </cell>
          <cell r="C2" t="str">
            <v>Customers unable to checkout on the website</v>
          </cell>
          <cell r="D2" t="str">
            <v>P1</v>
          </cell>
          <cell r="E2" t="str">
            <v>Closed</v>
          </cell>
          <cell r="F2" t="str">
            <v>Online</v>
          </cell>
          <cell r="G2" t="str">
            <v>Online</v>
          </cell>
        </row>
        <row r="3">
          <cell r="A3" t="str">
            <v>INC152</v>
          </cell>
          <cell r="B3">
            <v>45841</v>
          </cell>
          <cell r="C3" t="str">
            <v>TRAS (Tactical Remote Access Solution) - Missed implementation of conditional access policies for geo-restrictions (Greece, Ireland, India, UK and Czech Republic).</v>
          </cell>
          <cell r="D3" t="str">
            <v>P1</v>
          </cell>
          <cell r="E3" t="str">
            <v>Closed</v>
          </cell>
          <cell r="F3" t="str">
            <v>Foundational Infrastructure</v>
          </cell>
          <cell r="G3" t="str">
            <v>Infrastructure</v>
          </cell>
        </row>
        <row r="4">
          <cell r="A4" t="str">
            <v>INC154</v>
          </cell>
          <cell r="B4">
            <v>45842</v>
          </cell>
          <cell r="C4" t="str">
            <v>HHT's (Hand Held Terminals) not accessible at Hemel DC impacting Picking, Packing and Despatch Operations</v>
          </cell>
          <cell r="D4" t="str">
            <v>P1</v>
          </cell>
          <cell r="E4" t="str">
            <v>Closed</v>
          </cell>
          <cell r="F4" t="str">
            <v>Supply Chain</v>
          </cell>
          <cell r="G4" t="str">
            <v>Supply Chain</v>
          </cell>
        </row>
        <row r="5">
          <cell r="A5" t="str">
            <v>INC156</v>
          </cell>
          <cell r="B5">
            <v>45843</v>
          </cell>
          <cell r="C5" t="str">
            <v>M&amp;S homepage banners not visible on mobile apps (iOS and android)
Note : Website remains unaffected.</v>
          </cell>
          <cell r="D5" t="str">
            <v>P2</v>
          </cell>
          <cell r="E5" t="str">
            <v>Closed</v>
          </cell>
          <cell r="F5" t="str">
            <v>Online</v>
          </cell>
          <cell r="G5" t="str">
            <v>Online</v>
          </cell>
        </row>
        <row r="6">
          <cell r="A6" t="str">
            <v>INC158</v>
          </cell>
          <cell r="B6">
            <v>45845</v>
          </cell>
          <cell r="C6" t="str">
            <v>Issue with Travel Money Bureau stores resulting in a poor customer experience</v>
          </cell>
          <cell r="D6" t="str">
            <v>P1</v>
          </cell>
          <cell r="E6" t="str">
            <v>Closed</v>
          </cell>
          <cell r="F6" t="str">
            <v>LOYALITY&amp;FS Bank</v>
          </cell>
          <cell r="G6" t="str">
            <v>Loyalty</v>
          </cell>
        </row>
        <row r="7">
          <cell r="A7" t="str">
            <v>INC165</v>
          </cell>
          <cell r="B7">
            <v>45847</v>
          </cell>
          <cell r="C7" t="str">
            <v>Non-prod vCenter is unable to communicate to Active directory</v>
          </cell>
          <cell r="D7" t="str">
            <v>P2</v>
          </cell>
          <cell r="E7" t="str">
            <v>Closed</v>
          </cell>
          <cell r="F7" t="str">
            <v>Foundational Infrastructure</v>
          </cell>
          <cell r="G7" t="str">
            <v>Infrastructure</v>
          </cell>
        </row>
        <row r="8">
          <cell r="A8" t="str">
            <v>INC172</v>
          </cell>
          <cell r="B8">
            <v>45849</v>
          </cell>
          <cell r="C8" t="str">
            <v>Issue in receiving the GR messages from ASO into GIST</v>
          </cell>
          <cell r="D8" t="str">
            <v>P2</v>
          </cell>
          <cell r="E8" t="str">
            <v>Closed</v>
          </cell>
          <cell r="F8" t="str">
            <v>Foods</v>
          </cell>
          <cell r="G8" t="str">
            <v>Food</v>
          </cell>
        </row>
        <row r="9">
          <cell r="A9" t="str">
            <v>INC173</v>
          </cell>
          <cell r="B9">
            <v>45850</v>
          </cell>
          <cell r="C9" t="str">
            <v>Delay in sending the WMS SOD (Start of Day) file to OMS due to Control M job issue.</v>
          </cell>
          <cell r="D9" t="str">
            <v>P2</v>
          </cell>
          <cell r="E9" t="str">
            <v>Closed</v>
          </cell>
          <cell r="F9" t="str">
            <v>Online</v>
          </cell>
          <cell r="G9" t="str">
            <v>Online</v>
          </cell>
        </row>
        <row r="10">
          <cell r="A10" t="str">
            <v>INC174</v>
          </cell>
          <cell r="B10">
            <v>45851</v>
          </cell>
          <cell r="C10" t="str">
            <v>T&amp;A (Time &amp; Attendance) Clocking &amp; Scheduling issue</v>
          </cell>
          <cell r="D10" t="str">
            <v>P2</v>
          </cell>
          <cell r="E10" t="str">
            <v>Closed</v>
          </cell>
          <cell r="F10" t="str">
            <v>HR</v>
          </cell>
          <cell r="G10" t="str">
            <v>HR</v>
          </cell>
        </row>
        <row r="11">
          <cell r="A11" t="str">
            <v>INC175</v>
          </cell>
          <cell r="B11">
            <v>45852</v>
          </cell>
          <cell r="C11" t="str">
            <v>Label printing currently down at Stoke DC</v>
          </cell>
          <cell r="D11" t="str">
            <v>P1</v>
          </cell>
          <cell r="E11" t="str">
            <v>Closed</v>
          </cell>
          <cell r="F11" t="str">
            <v>Supply Chain</v>
          </cell>
          <cell r="G11" t="str">
            <v>Supply Chain</v>
          </cell>
        </row>
        <row r="12">
          <cell r="A12" t="str">
            <v>INC181</v>
          </cell>
          <cell r="B12">
            <v>45853</v>
          </cell>
          <cell r="C12" t="str">
            <v>Issues in installing CSSM application across 33 stores</v>
          </cell>
          <cell r="D12" t="str">
            <v>P2</v>
          </cell>
          <cell r="E12" t="str">
            <v>Closed</v>
          </cell>
          <cell r="F12" t="str">
            <v>Stores</v>
          </cell>
          <cell r="G12" t="str">
            <v>Stores</v>
          </cell>
        </row>
        <row r="13">
          <cell r="A13" t="str">
            <v>INC182</v>
          </cell>
          <cell r="B13">
            <v>45854</v>
          </cell>
          <cell r="C13" t="str">
            <v>Label printing issue at Swindon DC</v>
          </cell>
          <cell r="D13" t="str">
            <v>P1</v>
          </cell>
          <cell r="E13" t="str">
            <v>Closed</v>
          </cell>
          <cell r="F13" t="str">
            <v>Supply Chain</v>
          </cell>
          <cell r="G13" t="str">
            <v>Supply Chain</v>
          </cell>
        </row>
        <row r="14">
          <cell r="A14" t="str">
            <v>INC187</v>
          </cell>
          <cell r="B14">
            <v>45856</v>
          </cell>
          <cell r="C14" t="str">
            <v>Business colleagues working from Salford Quays are unable to access SAP applications (SRM &amp; ECC) on Salina network.</v>
          </cell>
          <cell r="D14" t="str">
            <v>P1</v>
          </cell>
          <cell r="E14" t="str">
            <v>Closed</v>
          </cell>
          <cell r="F14" t="str">
            <v>Finance</v>
          </cell>
          <cell r="G14" t="str">
            <v>Finance</v>
          </cell>
        </row>
        <row r="15">
          <cell r="A15" t="str">
            <v>INC189</v>
          </cell>
          <cell r="B15">
            <v>45858</v>
          </cell>
          <cell r="C15" t="str">
            <v>Carrier label printing issues reported across Donington and other ECOMM DCs (Ollerton, Bradford &amp; Thorncliffe)</v>
          </cell>
          <cell r="D15" t="str">
            <v>P1</v>
          </cell>
          <cell r="E15" t="str">
            <v>Closed</v>
          </cell>
          <cell r="F15" t="str">
            <v>Supply Chain</v>
          </cell>
          <cell r="G15" t="str">
            <v>Supply Chain</v>
          </cell>
        </row>
        <row r="16">
          <cell r="A16" t="str">
            <v>INC190</v>
          </cell>
          <cell r="B16">
            <v>45859</v>
          </cell>
          <cell r="C16" t="str">
            <v>1. Gift cards transactions failure across online &amp; instore
2, All store tills offline to POS Beanstore.
3. Contact Centres (South Africa &amp; Chester) are unable to access OMS (Order Management System)</v>
          </cell>
          <cell r="D16" t="str">
            <v>P1</v>
          </cell>
          <cell r="E16" t="str">
            <v>Closed</v>
          </cell>
          <cell r="F16" t="str">
            <v>Stores</v>
          </cell>
          <cell r="G16" t="str">
            <v>Stores</v>
          </cell>
        </row>
        <row r="17">
          <cell r="A17" t="str">
            <v>INC191</v>
          </cell>
          <cell r="B17">
            <v>45859</v>
          </cell>
          <cell r="C17" t="str">
            <v>Multiple issues at the Castle Donington DC.
1) HHT logging
2) Pack screen freeze
3) Admin team are currently experiencing issues with booking on RM20YC
4) Issue in the Print service
5) Parcels going to NOK lane
6) Hanging Garments not processed
7) ICQA stock descrepancy</v>
          </cell>
          <cell r="D17" t="str">
            <v>P2</v>
          </cell>
          <cell r="E17" t="str">
            <v>Closed</v>
          </cell>
          <cell r="F17" t="str">
            <v>Supply Chain</v>
          </cell>
          <cell r="G17" t="str">
            <v>Supply Chain</v>
          </cell>
        </row>
        <row r="18">
          <cell r="A18" t="str">
            <v>INC192</v>
          </cell>
          <cell r="B18">
            <v>45859</v>
          </cell>
          <cell r="C18" t="str">
            <v>Intermittent latency observed in 17 Non SDWAN Stores and 6 SDWAN stores while bringing up Xtris application on the honeywells</v>
          </cell>
          <cell r="D18" t="str">
            <v>P2</v>
          </cell>
          <cell r="E18" t="str">
            <v>Closed</v>
          </cell>
          <cell r="F18" t="str">
            <v>LOYALITY&amp;FS Bank</v>
          </cell>
          <cell r="G18" t="str">
            <v>Loyalty</v>
          </cell>
        </row>
        <row r="19">
          <cell r="A19" t="str">
            <v>INC193</v>
          </cell>
          <cell r="B19">
            <v>45860</v>
          </cell>
          <cell r="C19" t="str">
            <v>Delays in Control M refresh at 7 AM impacting FH&amp;B and Foods portfolios</v>
          </cell>
          <cell r="D19" t="str">
            <v>P1</v>
          </cell>
          <cell r="E19" t="str">
            <v>Closed</v>
          </cell>
          <cell r="F19" t="str">
            <v>Supply Chain</v>
          </cell>
          <cell r="G19" t="str">
            <v>Supply Chain</v>
          </cell>
        </row>
        <row r="20">
          <cell r="A20" t="str">
            <v>INC195</v>
          </cell>
          <cell r="B20">
            <v>45861</v>
          </cell>
          <cell r="C20" t="str">
            <v>All HHTs (hand held terminals) are currently non operational at Welham Green DC</v>
          </cell>
          <cell r="D20" t="str">
            <v>P1</v>
          </cell>
          <cell r="E20" t="str">
            <v>Closed</v>
          </cell>
          <cell r="F20" t="str">
            <v>Supply Chain</v>
          </cell>
          <cell r="G20" t="str">
            <v>Supply Chain</v>
          </cell>
        </row>
        <row r="21">
          <cell r="A21" t="str">
            <v>INC202</v>
          </cell>
          <cell r="B21">
            <v>45863</v>
          </cell>
          <cell r="C21" t="str">
            <v>Microsoft office subscription issue on M&amp;S workstations across Milton Keynes, Welham Green and Swindon DCs</v>
          </cell>
          <cell r="D21" t="str">
            <v>P2</v>
          </cell>
          <cell r="E21" t="str">
            <v>Closed</v>
          </cell>
          <cell r="F21" t="str">
            <v>Supply Chain</v>
          </cell>
          <cell r="G21" t="str">
            <v>Supply Chain</v>
          </cell>
        </row>
        <row r="22">
          <cell r="A22" t="str">
            <v>INC208</v>
          </cell>
          <cell r="B22">
            <v>45866</v>
          </cell>
          <cell r="C22" t="str">
            <v>SFTP prod file transfer issues within HR portfolios</v>
          </cell>
          <cell r="D22" t="str">
            <v>P2</v>
          </cell>
          <cell r="E22" t="str">
            <v>Closed</v>
          </cell>
          <cell r="F22" t="str">
            <v>HR</v>
          </cell>
          <cell r="G22" t="str">
            <v>HR</v>
          </cell>
        </row>
        <row r="23">
          <cell r="A23" t="str">
            <v>INC210</v>
          </cell>
          <cell r="B23">
            <v>45867</v>
          </cell>
          <cell r="C23" t="str">
            <v>Franchise store colleagues are unable to access CSSM and its functionalities.</v>
          </cell>
          <cell r="D23" t="str">
            <v>P1</v>
          </cell>
          <cell r="E23" t="str">
            <v>Closed</v>
          </cell>
          <cell r="F23" t="str">
            <v>Stores</v>
          </cell>
          <cell r="G23" t="str">
            <v>Stores</v>
          </cell>
        </row>
        <row r="24">
          <cell r="A24" t="str">
            <v>INC211</v>
          </cell>
          <cell r="B24">
            <v>45867</v>
          </cell>
          <cell r="C24" t="str">
            <v xml:space="preserve">Contact Centre agents across Chester &amp; south Africa are unable to reply/receive /send emails to customers </v>
          </cell>
          <cell r="D24" t="str">
            <v>P2</v>
          </cell>
          <cell r="E24" t="str">
            <v>Closed</v>
          </cell>
          <cell r="F24" t="str">
            <v>Online</v>
          </cell>
          <cell r="G24" t="str">
            <v>Online</v>
          </cell>
        </row>
        <row r="25">
          <cell r="A25" t="str">
            <v>INC212</v>
          </cell>
          <cell r="B25">
            <v>45867</v>
          </cell>
          <cell r="C25" t="str">
            <v>Pay Export file for Castle Donington has not been loaded into Oracle</v>
          </cell>
          <cell r="D25" t="str">
            <v>P2</v>
          </cell>
          <cell r="E25" t="str">
            <v>Closed</v>
          </cell>
          <cell r="F25" t="str">
            <v>HR</v>
          </cell>
          <cell r="G25" t="str">
            <v>HR</v>
          </cell>
        </row>
        <row r="26">
          <cell r="A26" t="str">
            <v>INC213</v>
          </cell>
          <cell r="B26">
            <v>45867</v>
          </cell>
          <cell r="C26" t="str">
            <v>Order dispatch emails not sent to customers</v>
          </cell>
          <cell r="D26" t="str">
            <v>P2</v>
          </cell>
          <cell r="E26" t="str">
            <v>Closed</v>
          </cell>
          <cell r="F26" t="str">
            <v>Online</v>
          </cell>
          <cell r="G26" t="str">
            <v>Online</v>
          </cell>
        </row>
        <row r="27">
          <cell r="A27" t="str">
            <v>INC215</v>
          </cell>
          <cell r="B27">
            <v>45868</v>
          </cell>
          <cell r="C27" t="str">
            <v xml:space="preserve">PIM( Product Information Manager) is not accessible for Online and Brand business (PDX) user and Technical teams </v>
          </cell>
          <cell r="D27" t="str">
            <v>P2</v>
          </cell>
          <cell r="E27" t="str">
            <v>Closed</v>
          </cell>
          <cell r="F27" t="str">
            <v>Online</v>
          </cell>
          <cell r="G27" t="str">
            <v>Online</v>
          </cell>
        </row>
        <row r="28">
          <cell r="A28" t="str">
            <v>INC216</v>
          </cell>
          <cell r="B28">
            <v>45868</v>
          </cell>
          <cell r="C28" t="str">
            <v>Latency in processing pack order messages between CD WMS and WCS</v>
          </cell>
          <cell r="D28" t="str">
            <v>P1</v>
          </cell>
          <cell r="E28" t="str">
            <v>Closed</v>
          </cell>
          <cell r="F28" t="str">
            <v>Supply Chain</v>
          </cell>
          <cell r="G28" t="str">
            <v>Supply Chain</v>
          </cell>
        </row>
        <row r="29">
          <cell r="A29" t="str">
            <v>INC217</v>
          </cell>
          <cell r="B29">
            <v>45869</v>
          </cell>
          <cell r="C29" t="str">
            <v>Delays in Control M refresh at 7am impacting multiple portfolios</v>
          </cell>
          <cell r="D29" t="str">
            <v>P1</v>
          </cell>
          <cell r="E29" t="str">
            <v>Closed</v>
          </cell>
          <cell r="F29" t="str">
            <v>Supply Chain</v>
          </cell>
          <cell r="G29" t="str">
            <v>Supply Chain</v>
          </cell>
        </row>
        <row r="30">
          <cell r="A30" t="str">
            <v>INC219</v>
          </cell>
          <cell r="B30">
            <v>45873</v>
          </cell>
          <cell r="C30" t="str">
            <v>7 Finance colleagues ICT team at Salford Quays are unable to access SAP gateway on Salina network</v>
          </cell>
          <cell r="D30" t="str">
            <v>P2</v>
          </cell>
          <cell r="E30" t="str">
            <v>Closed</v>
          </cell>
          <cell r="F30" t="str">
            <v>Finance</v>
          </cell>
          <cell r="G30" t="str">
            <v>Finance</v>
          </cell>
        </row>
        <row r="31">
          <cell r="A31" t="str">
            <v>INC220</v>
          </cell>
          <cell r="B31">
            <v>45873</v>
          </cell>
          <cell r="C31" t="str">
            <v xml:space="preserve">Kisoft WMS application is inaccessible at FH&amp;B Bradford DC impacting operations </v>
          </cell>
          <cell r="D31" t="str">
            <v>P1</v>
          </cell>
          <cell r="E31" t="str">
            <v>Closed</v>
          </cell>
          <cell r="F31" t="str">
            <v>Supply Chain</v>
          </cell>
          <cell r="G31" t="str">
            <v>Supply Chain</v>
          </cell>
        </row>
        <row r="32">
          <cell r="A32" t="str">
            <v>INC222</v>
          </cell>
          <cell r="B32">
            <v>45874</v>
          </cell>
          <cell r="C32" t="str">
            <v>FH&amp;B colleagues/Merchandisers are unable to launch Range Planner (RP) through Salina from Stockley Park and Waterside.</v>
          </cell>
          <cell r="D32" t="str">
            <v>P2</v>
          </cell>
          <cell r="E32" t="str">
            <v>Closed</v>
          </cell>
          <cell r="F32" t="str">
            <v>FH&amp;B</v>
          </cell>
          <cell r="G32" t="str">
            <v>FH&amp;B</v>
          </cell>
        </row>
        <row r="33">
          <cell r="A33" t="str">
            <v>INC224</v>
          </cell>
          <cell r="B33">
            <v>45875</v>
          </cell>
          <cell r="C33" t="str">
            <v>Search functionality not working on the homepage of M&amp;S.com website.</v>
          </cell>
          <cell r="D33" t="str">
            <v>P2</v>
          </cell>
          <cell r="E33" t="str">
            <v>Closed</v>
          </cell>
          <cell r="F33" t="str">
            <v>Online</v>
          </cell>
          <cell r="G33" t="str">
            <v>Online</v>
          </cell>
        </row>
        <row r="34">
          <cell r="A34" t="str">
            <v>INC227</v>
          </cell>
          <cell r="B34">
            <v>45876</v>
          </cell>
          <cell r="C34" t="str">
            <v xml:space="preserve">High volume of online orders refunds not being processed to customers </v>
          </cell>
          <cell r="D34" t="str">
            <v>P2</v>
          </cell>
          <cell r="E34" t="str">
            <v>Closed</v>
          </cell>
          <cell r="F34" t="str">
            <v>Online</v>
          </cell>
          <cell r="G34" t="str">
            <v>Online</v>
          </cell>
        </row>
        <row r="35">
          <cell r="A35" t="str">
            <v>INC228</v>
          </cell>
          <cell r="B35">
            <v>45876</v>
          </cell>
          <cell r="C35" t="str">
            <v>Outlet DC (Peterborough) are unable to access JDA Dispatcher WMS application</v>
          </cell>
          <cell r="D35" t="str">
            <v>P1</v>
          </cell>
          <cell r="E35" t="str">
            <v>Closed</v>
          </cell>
          <cell r="F35" t="str">
            <v>Supply Chain</v>
          </cell>
          <cell r="G35" t="str">
            <v>Supply Chain</v>
          </cell>
        </row>
        <row r="36">
          <cell r="A36" t="str">
            <v>INC229</v>
          </cell>
          <cell r="B36">
            <v>45876</v>
          </cell>
          <cell r="C36" t="str">
            <v>Customers not receiving order despatch messages from Sorted.</v>
          </cell>
          <cell r="D36" t="str">
            <v>P2</v>
          </cell>
          <cell r="E36" t="str">
            <v>Closed</v>
          </cell>
          <cell r="F36" t="str">
            <v>Online</v>
          </cell>
          <cell r="G36" t="str">
            <v>Online</v>
          </cell>
        </row>
        <row r="37">
          <cell r="A37" t="str">
            <v>INC230</v>
          </cell>
          <cell r="B37">
            <v>45876</v>
          </cell>
          <cell r="C37" t="str">
            <v>11 Travel Money stores are unable to access Xtris application on the workstations - Eden High Wycombe, London Colney, Stirling, Merryhill, Camberley, Metrocentre, Edinburgh Kinnaird, Harrogate, Dundee, Chester, Norwich</v>
          </cell>
          <cell r="D37" t="str">
            <v>P2</v>
          </cell>
          <cell r="E37" t="str">
            <v>Closed</v>
          </cell>
          <cell r="F37" t="str">
            <v>LOYALITY&amp;FS Bank</v>
          </cell>
          <cell r="G37" t="str">
            <v>Loyalty</v>
          </cell>
        </row>
        <row r="38">
          <cell r="A38" t="str">
            <v>INC231</v>
          </cell>
          <cell r="B38">
            <v>45876</v>
          </cell>
          <cell r="C38" t="str">
            <v>WMS application inaccessible on pack screens and HHTs at Castle Donington DC</v>
          </cell>
          <cell r="D38" t="str">
            <v>P2</v>
          </cell>
          <cell r="E38" t="str">
            <v>Closed</v>
          </cell>
          <cell r="F38" t="str">
            <v>Supply Chain</v>
          </cell>
          <cell r="G38" t="str">
            <v>Supply Chain</v>
          </cell>
        </row>
        <row r="39">
          <cell r="A39" t="str">
            <v>INC232</v>
          </cell>
          <cell r="B39">
            <v>45877</v>
          </cell>
          <cell r="C39" t="str">
            <v xml:space="preserve">Foods Bradford DC - LAN connectivity lost in Stock &amp; Compliance Team office </v>
          </cell>
          <cell r="D39" t="str">
            <v>P2</v>
          </cell>
          <cell r="E39" t="str">
            <v>Closed</v>
          </cell>
          <cell r="F39" t="str">
            <v>Foods</v>
          </cell>
          <cell r="G39" t="str">
            <v>Food</v>
          </cell>
        </row>
        <row r="40">
          <cell r="A40" t="str">
            <v>INC236</v>
          </cell>
          <cell r="B40">
            <v>45878</v>
          </cell>
          <cell r="C40" t="str">
            <v>Performance degradation on cSAP ECC system</v>
          </cell>
          <cell r="D40" t="str">
            <v>P1</v>
          </cell>
          <cell r="E40" t="str">
            <v>Closed</v>
          </cell>
          <cell r="F40" t="str">
            <v>Finance</v>
          </cell>
          <cell r="G40" t="str">
            <v>Finance</v>
          </cell>
        </row>
        <row r="41">
          <cell r="A41" t="str">
            <v>INC238</v>
          </cell>
          <cell r="B41">
            <v>45878</v>
          </cell>
          <cell r="C41" t="str">
            <v>Sales data not flowing to CSSM for BP stores</v>
          </cell>
          <cell r="D41" t="str">
            <v>P1</v>
          </cell>
          <cell r="E41" t="str">
            <v>Closed</v>
          </cell>
          <cell r="F41" t="str">
            <v>Stores</v>
          </cell>
          <cell r="G41" t="str">
            <v>Stores</v>
          </cell>
        </row>
        <row r="42">
          <cell r="A42" t="str">
            <v>INC239</v>
          </cell>
          <cell r="B42">
            <v>45879</v>
          </cell>
          <cell r="C42" t="str">
            <v>The Finance Team is unable to access the RPA BOT hosted on server MSHRDMNSUKP0036, which is used for running journal entries and generating the month-end table of movements.</v>
          </cell>
          <cell r="D42" t="str">
            <v>P2</v>
          </cell>
          <cell r="E42" t="str">
            <v>Closed</v>
          </cell>
          <cell r="F42" t="str">
            <v>Finance</v>
          </cell>
          <cell r="G42" t="str">
            <v>Finance</v>
          </cell>
        </row>
        <row r="43">
          <cell r="A43" t="str">
            <v>INC240</v>
          </cell>
          <cell r="B43">
            <v>45880</v>
          </cell>
          <cell r="C43" t="str">
            <v>WMS application inaccessible on pack screens and HHTs at Castle Donington DC (Similar to INC231)</v>
          </cell>
          <cell r="D43" t="str">
            <v>P2</v>
          </cell>
          <cell r="E43" t="str">
            <v>Closed</v>
          </cell>
          <cell r="F43" t="str">
            <v>Supply Chain</v>
          </cell>
          <cell r="G43" t="str">
            <v>Supply Chain</v>
          </cell>
        </row>
        <row r="44">
          <cell r="A44" t="str">
            <v>INC242</v>
          </cell>
          <cell r="B44">
            <v>45881</v>
          </cell>
          <cell r="C44" t="str">
            <v>Colleagues are unable to connect to PRA portal</v>
          </cell>
          <cell r="D44" t="str">
            <v>P1</v>
          </cell>
          <cell r="E44" t="str">
            <v>Closed</v>
          </cell>
          <cell r="F44" t="str">
            <v>Stores</v>
          </cell>
          <cell r="G44" t="str">
            <v>Stores</v>
          </cell>
        </row>
        <row r="45">
          <cell r="A45" t="str">
            <v>INC246</v>
          </cell>
          <cell r="B45">
            <v>45881</v>
          </cell>
          <cell r="C45" t="str">
            <v>Latency in message processing between WMS and WCS at Castle Donington DC (similar to INC216)</v>
          </cell>
          <cell r="D45" t="str">
            <v>P2</v>
          </cell>
          <cell r="E45" t="str">
            <v>Closed</v>
          </cell>
          <cell r="F45" t="str">
            <v>Supply Chain</v>
          </cell>
          <cell r="G45" t="str">
            <v>Supply Chain</v>
          </cell>
        </row>
        <row r="46">
          <cell r="A46" t="str">
            <v>INC247</v>
          </cell>
          <cell r="B46">
            <v>45882</v>
          </cell>
          <cell r="C46" t="str">
            <v>Customers receiving OOS (Out of Stock) message on a small amount of products while checking out on the M&amp;S.com website</v>
          </cell>
          <cell r="D46" t="str">
            <v>P2</v>
          </cell>
          <cell r="E46" t="str">
            <v>Closed</v>
          </cell>
          <cell r="F46" t="str">
            <v>Online</v>
          </cell>
          <cell r="G46" t="str">
            <v>Online</v>
          </cell>
        </row>
        <row r="47">
          <cell r="A47" t="str">
            <v>INC250</v>
          </cell>
          <cell r="B47">
            <v>45884</v>
          </cell>
          <cell r="C47" t="str">
            <v>Travel money store colleagues unable to login to Xtris application on the honeywells across 480 Non Bureau stores.</v>
          </cell>
          <cell r="D47" t="str">
            <v>P1</v>
          </cell>
          <cell r="E47" t="str">
            <v>Closed</v>
          </cell>
          <cell r="F47" t="str">
            <v>LOYALITY&amp;FS Bank</v>
          </cell>
          <cell r="G47" t="str">
            <v>Loyalty</v>
          </cell>
        </row>
        <row r="48">
          <cell r="A48" t="str">
            <v>INC253</v>
          </cell>
          <cell r="B48">
            <v>45887</v>
          </cell>
          <cell r="C48" t="str">
            <v xml:space="preserve">Foods and FH&amp;B colleagues unable to access SRD (Space, Range &amp; Display) application through Blue Yonder Citrix URL </v>
          </cell>
          <cell r="D48" t="str">
            <v>P1</v>
          </cell>
          <cell r="E48" t="str">
            <v>Closed</v>
          </cell>
          <cell r="F48" t="str">
            <v>Foods</v>
          </cell>
          <cell r="G48" t="str">
            <v>Food</v>
          </cell>
        </row>
        <row r="49">
          <cell r="A49" t="str">
            <v>INC256</v>
          </cell>
          <cell r="B49">
            <v>45887</v>
          </cell>
          <cell r="C49" t="str">
            <v>Order Drop on M&amp;S.com Website due to payment failure (order drops occurred between 21:29 – 21:32 &amp; 21:41 – 21:53)</v>
          </cell>
          <cell r="D49" t="str">
            <v>P2</v>
          </cell>
          <cell r="E49" t="str">
            <v>Closed</v>
          </cell>
          <cell r="F49" t="str">
            <v>Online</v>
          </cell>
          <cell r="G49" t="str">
            <v>Online</v>
          </cell>
        </row>
        <row r="50">
          <cell r="A50" t="str">
            <v>INC257</v>
          </cell>
          <cell r="B50">
            <v>45888</v>
          </cell>
          <cell r="C50" t="str">
            <v>Some customer orders are stuck in “On its Way” status, with no accurate updates visible to customers or contact centre agents.</v>
          </cell>
          <cell r="D50" t="str">
            <v>P2</v>
          </cell>
          <cell r="E50" t="str">
            <v>Closed</v>
          </cell>
          <cell r="F50" t="str">
            <v>Online</v>
          </cell>
          <cell r="G50" t="str">
            <v>Online</v>
          </cell>
        </row>
        <row r="51">
          <cell r="A51" t="str">
            <v>INC260</v>
          </cell>
          <cell r="B51">
            <v>45888</v>
          </cell>
          <cell r="C51" t="str">
            <v>External ASNs not loaded into WMS across all FH&amp;B warehouses for a number of direct containers</v>
          </cell>
          <cell r="D51" t="str">
            <v>P2</v>
          </cell>
          <cell r="E51" t="str">
            <v>In Progress</v>
          </cell>
          <cell r="F51" t="str">
            <v>Supply Chain</v>
          </cell>
          <cell r="G51" t="str">
            <v>Supply Chain</v>
          </cell>
        </row>
        <row r="52">
          <cell r="A52" t="str">
            <v>INC261</v>
          </cell>
          <cell r="B52">
            <v>45888</v>
          </cell>
          <cell r="C52" t="str">
            <v>Internal ASNs - Systematic ASNs not flowing and failing in SAP.</v>
          </cell>
          <cell r="D52" t="str">
            <v>P2</v>
          </cell>
          <cell r="E52" t="str">
            <v>In Progress</v>
          </cell>
          <cell r="F52" t="str">
            <v>Supply Chain</v>
          </cell>
          <cell r="G52" t="str">
            <v>Supply Chain</v>
          </cell>
        </row>
        <row r="53">
          <cell r="A53" t="str">
            <v>INC263</v>
          </cell>
          <cell r="B53">
            <v>45888</v>
          </cell>
          <cell r="C53" t="str">
            <v>High volume of order cancellations at Ollerton breaching the threshold of 25% due to negative DNR (Demand Notification Release)</v>
          </cell>
          <cell r="D53" t="str">
            <v>P2</v>
          </cell>
          <cell r="E53" t="str">
            <v>Closed</v>
          </cell>
          <cell r="F53" t="str">
            <v>Online</v>
          </cell>
          <cell r="G53" t="str">
            <v>Online</v>
          </cell>
        </row>
        <row r="54">
          <cell r="A54" t="str">
            <v>INC265</v>
          </cell>
          <cell r="B54">
            <v>45889</v>
          </cell>
          <cell r="C54" t="str">
            <v>Store colleagues across SDWAN and non SDWAN Travel Bureaus unable to serve customers on the tills.</v>
          </cell>
          <cell r="D54" t="str">
            <v>P1</v>
          </cell>
          <cell r="E54" t="str">
            <v>Closed</v>
          </cell>
          <cell r="F54" t="str">
            <v>LOYALITY&amp;FS Bank</v>
          </cell>
          <cell r="G54" t="str">
            <v>Loyalty</v>
          </cell>
        </row>
        <row r="55">
          <cell r="A55" t="str">
            <v>INC266</v>
          </cell>
          <cell r="B55">
            <v>45890</v>
          </cell>
          <cell r="C55" t="str">
            <v>Castle Donington - Slowness observed at all Pack areas</v>
          </cell>
          <cell r="D55" t="str">
            <v>P2</v>
          </cell>
          <cell r="E55" t="str">
            <v>Closed</v>
          </cell>
          <cell r="F55" t="str">
            <v>Supply Chain</v>
          </cell>
          <cell r="G55" t="str">
            <v>Supply Chain</v>
          </cell>
        </row>
        <row r="56">
          <cell r="A56" t="str">
            <v>INC267</v>
          </cell>
          <cell r="B56">
            <v>45890</v>
          </cell>
          <cell r="C56" t="str">
            <v xml:space="preserve">SAP Cloud connector not accessible in the Stockley park. </v>
          </cell>
          <cell r="D56" t="str">
            <v>P2</v>
          </cell>
          <cell r="E56" t="str">
            <v>Closed</v>
          </cell>
          <cell r="F56" t="str">
            <v>FH&amp;B, Finance, Foods</v>
          </cell>
          <cell r="G56" t="str">
            <v>Finance</v>
          </cell>
        </row>
        <row r="57">
          <cell r="A57" t="str">
            <v>INC269</v>
          </cell>
          <cell r="B57">
            <v>45890</v>
          </cell>
          <cell r="C57" t="str">
            <v>New product information missing on the Store stock locator on the.com website - "Find in store"</v>
          </cell>
          <cell r="D57" t="str">
            <v>P2</v>
          </cell>
          <cell r="E57" t="str">
            <v>Closed</v>
          </cell>
          <cell r="F57" t="str">
            <v>Online</v>
          </cell>
          <cell r="G57" t="str">
            <v>Online</v>
          </cell>
        </row>
        <row r="58">
          <cell r="A58" t="str">
            <v>INC270</v>
          </cell>
          <cell r="B58">
            <v>45890</v>
          </cell>
          <cell r="C58" t="str">
            <v>Duty Master is not receiving order adjustment files from WMS for Foods Bradford &amp; Milton Keynes</v>
          </cell>
          <cell r="D58" t="str">
            <v>P2</v>
          </cell>
          <cell r="E58" t="str">
            <v>Closed</v>
          </cell>
          <cell r="F58" t="str">
            <v>Food</v>
          </cell>
          <cell r="G58" t="str">
            <v>Food</v>
          </cell>
        </row>
        <row r="59">
          <cell r="A59" t="str">
            <v>INC271</v>
          </cell>
          <cell r="B59">
            <v>45890</v>
          </cell>
          <cell r="C59" t="str">
            <v xml:space="preserve">Ollerton DC Colleagues  are unable to access the WMS application.  </v>
          </cell>
          <cell r="D59" t="str">
            <v>P1</v>
          </cell>
          <cell r="E59" t="str">
            <v>Closed</v>
          </cell>
          <cell r="F59" t="str">
            <v>Supply Chain</v>
          </cell>
          <cell r="G59" t="str">
            <v>Supply Chain</v>
          </cell>
        </row>
        <row r="60">
          <cell r="A60" t="str">
            <v>INC272</v>
          </cell>
          <cell r="B60">
            <v>45891</v>
          </cell>
          <cell r="C60" t="str">
            <v>Delay in Relex overnight batch impacting various Foods critical flows</v>
          </cell>
          <cell r="D60" t="str">
            <v>P1</v>
          </cell>
          <cell r="E60" t="str">
            <v>Closed</v>
          </cell>
          <cell r="F60" t="str">
            <v>Foods</v>
          </cell>
          <cell r="G60" t="str">
            <v>Food</v>
          </cell>
        </row>
        <row r="61">
          <cell r="A61" t="str">
            <v>INC273</v>
          </cell>
          <cell r="B61">
            <v>45891</v>
          </cell>
          <cell r="C61" t="str">
            <v>SSI WCS (Warehouse Control System) automation system unavailable at Castle Donington DC.</v>
          </cell>
          <cell r="D61" t="str">
            <v>P1</v>
          </cell>
          <cell r="E61" t="str">
            <v>Closed</v>
          </cell>
          <cell r="F61" t="str">
            <v>Supply Chain</v>
          </cell>
          <cell r="G61" t="str">
            <v>Supply Chain</v>
          </cell>
        </row>
        <row r="62">
          <cell r="A62" t="str">
            <v>INC275</v>
          </cell>
          <cell r="B62">
            <v>45893</v>
          </cell>
          <cell r="C62" t="str">
            <v>False Order Delay Email Triggered to 11k+ Customers</v>
          </cell>
          <cell r="D62" t="str">
            <v>P1</v>
          </cell>
          <cell r="E62" t="str">
            <v>Closed</v>
          </cell>
          <cell r="F62" t="str">
            <v>Online</v>
          </cell>
          <cell r="G62" t="str">
            <v>Online</v>
          </cell>
        </row>
        <row r="63">
          <cell r="A63" t="str">
            <v>INC276</v>
          </cell>
          <cell r="B63">
            <v>45893</v>
          </cell>
          <cell r="C63" t="str">
            <v>Out-of-Stock Error Displayed During Checkout on Website and Apps</v>
          </cell>
          <cell r="D63" t="str">
            <v>P2</v>
          </cell>
          <cell r="E63" t="str">
            <v>Closed</v>
          </cell>
          <cell r="F63" t="str">
            <v>Online</v>
          </cell>
          <cell r="G63" t="str">
            <v>Online</v>
          </cell>
        </row>
        <row r="64">
          <cell r="A64" t="str">
            <v>INC278</v>
          </cell>
          <cell r="B64">
            <v>45895</v>
          </cell>
          <cell r="C64" t="str">
            <v>Performance issue observed on HHTS while performing dispatch operations in Castle Donnington DC</v>
          </cell>
          <cell r="D64" t="str">
            <v>P2</v>
          </cell>
          <cell r="E64" t="str">
            <v>Closed</v>
          </cell>
          <cell r="F64" t="str">
            <v>Supply Chain</v>
          </cell>
          <cell r="G64" t="str">
            <v>Supply Chain</v>
          </cell>
        </row>
        <row r="65">
          <cell r="A65" t="str">
            <v>INC281</v>
          </cell>
          <cell r="B65">
            <v>45895</v>
          </cell>
          <cell r="C65" t="str">
            <v>FH&amp;B SOH (Stock on Hand) data mismatch between CSSM systems and SAP StockHub (Reporting system)</v>
          </cell>
          <cell r="D65" t="str">
            <v>P2</v>
          </cell>
          <cell r="E65" t="str">
            <v>Closed</v>
          </cell>
          <cell r="F65" t="str">
            <v>Supply Chain</v>
          </cell>
          <cell r="G65" t="str">
            <v>Supply Chain</v>
          </cell>
        </row>
        <row r="66">
          <cell r="A66" t="str">
            <v>INC285</v>
          </cell>
          <cell r="B66">
            <v>45897</v>
          </cell>
          <cell r="C66" t="str">
            <v xml:space="preserve">Middleware ACE node 3 is currently unresponsive </v>
          </cell>
          <cell r="D66" t="str">
            <v>P1</v>
          </cell>
          <cell r="E66" t="str">
            <v>Closed</v>
          </cell>
          <cell r="F66" t="str">
            <v>Foods, Stores</v>
          </cell>
          <cell r="G66" t="str">
            <v>Food</v>
          </cell>
        </row>
        <row r="67">
          <cell r="A67" t="str">
            <v>INC286</v>
          </cell>
          <cell r="B67">
            <v>45898</v>
          </cell>
          <cell r="C67" t="str">
            <v>Delays in Control M refresh at 7am impacting multiple portfolios</v>
          </cell>
          <cell r="D67" t="str">
            <v>P1</v>
          </cell>
          <cell r="E67" t="str">
            <v>Closed</v>
          </cell>
          <cell r="F67" t="str">
            <v>Online, Supply Chain, FH&amp;B, Finance</v>
          </cell>
          <cell r="G67" t="str">
            <v>Supply Chain</v>
          </cell>
        </row>
        <row r="68">
          <cell r="A68" t="str">
            <v>INC287</v>
          </cell>
          <cell r="B68">
            <v>45898</v>
          </cell>
          <cell r="C68" t="str">
            <v>Delay in EDW Day-1 Reporting flow</v>
          </cell>
          <cell r="D68" t="str">
            <v>P2</v>
          </cell>
          <cell r="E68" t="str">
            <v>Closed</v>
          </cell>
          <cell r="F68" t="str">
            <v>Finance</v>
          </cell>
          <cell r="G68" t="str">
            <v>Finance</v>
          </cell>
        </row>
        <row r="69">
          <cell r="A69" t="str">
            <v>INC289</v>
          </cell>
          <cell r="B69">
            <v>45898</v>
          </cell>
          <cell r="C69" t="str">
            <v>Ollerton DC colleagues are unable to log in to WMS UI across HHTs and pack benches impacting refund processing</v>
          </cell>
          <cell r="D69" t="str">
            <v>P2</v>
          </cell>
          <cell r="E69" t="str">
            <v>Closed</v>
          </cell>
          <cell r="F69" t="str">
            <v>Supply Chain</v>
          </cell>
          <cell r="G69" t="str">
            <v>Supply Chain</v>
          </cell>
        </row>
        <row r="70">
          <cell r="A70" t="str">
            <v>INC291</v>
          </cell>
          <cell r="B70">
            <v>45900</v>
          </cell>
          <cell r="C70" t="str">
            <v>High Customer Failure Rate in Sherburn DC for 24th Aug</v>
          </cell>
          <cell r="D70" t="str">
            <v>P2</v>
          </cell>
          <cell r="E70" t="str">
            <v>Closed</v>
          </cell>
          <cell r="F70" t="str">
            <v>Online</v>
          </cell>
          <cell r="G70" t="str">
            <v>Online</v>
          </cell>
        </row>
        <row r="71">
          <cell r="A71" t="str">
            <v>INC292</v>
          </cell>
          <cell r="B71">
            <v>45901</v>
          </cell>
          <cell r="C71" t="str">
            <v>Multiple store colleagues are unable to access Intelligent Waste functionality within CSSM application.</v>
          </cell>
          <cell r="D71" t="str">
            <v>P1</v>
          </cell>
          <cell r="E71" t="str">
            <v>Closed</v>
          </cell>
          <cell r="F71" t="str">
            <v>Stores</v>
          </cell>
          <cell r="G71" t="str">
            <v>Stores</v>
          </cell>
        </row>
        <row r="72">
          <cell r="A72" t="str">
            <v>INC297</v>
          </cell>
          <cell r="B72">
            <v>45903</v>
          </cell>
          <cell r="C72" t="str">
            <v xml:space="preserve">High number of missed online order returns by Evri </v>
          </cell>
          <cell r="D72" t="str">
            <v>P2</v>
          </cell>
          <cell r="E72" t="str">
            <v>Closed</v>
          </cell>
          <cell r="F72" t="str">
            <v>Online</v>
          </cell>
          <cell r="G72" t="str">
            <v>Online</v>
          </cell>
        </row>
        <row r="73">
          <cell r="A73" t="str">
            <v>INC298</v>
          </cell>
          <cell r="B73">
            <v>45903</v>
          </cell>
          <cell r="C73" t="str">
            <v>High Volume of Customers Receive Incorrect Order Delayed Email</v>
          </cell>
          <cell r="D73" t="str">
            <v>P2</v>
          </cell>
          <cell r="E73" t="str">
            <v>Closed</v>
          </cell>
          <cell r="F73" t="str">
            <v>Online</v>
          </cell>
          <cell r="G73" t="str">
            <v>Online</v>
          </cell>
        </row>
        <row r="74">
          <cell r="A74" t="str">
            <v>INC300</v>
          </cell>
          <cell r="B74">
            <v>45903</v>
          </cell>
          <cell r="C74" t="str">
            <v>Foods RDC Goods Receipts not flowing to ASO due to a middleware issue</v>
          </cell>
          <cell r="D74" t="str">
            <v>P2</v>
          </cell>
          <cell r="E74" t="str">
            <v>Closed</v>
          </cell>
          <cell r="F74" t="str">
            <v>Food</v>
          </cell>
          <cell r="G74" t="str">
            <v>Food</v>
          </cell>
        </row>
        <row r="75">
          <cell r="A75" t="str">
            <v>INC302</v>
          </cell>
          <cell r="B75">
            <v>45904</v>
          </cell>
          <cell r="C75" t="str">
            <v>Some tills across 15+ stores are not accepting colleague discounts</v>
          </cell>
          <cell r="D75" t="str">
            <v>P2</v>
          </cell>
          <cell r="E75" t="str">
            <v>Closed</v>
          </cell>
          <cell r="F75" t="str">
            <v>Stores</v>
          </cell>
          <cell r="G75" t="str">
            <v>Stores</v>
          </cell>
        </row>
        <row r="76">
          <cell r="A76" t="str">
            <v>INC305</v>
          </cell>
          <cell r="B76">
            <v>45904</v>
          </cell>
          <cell r="C76" t="str">
            <v>Issue with Returns operations at Stores, warehouses &amp; Online</v>
          </cell>
          <cell r="D76" t="str">
            <v>P1</v>
          </cell>
          <cell r="E76" t="str">
            <v>Closed</v>
          </cell>
          <cell r="F76" t="str">
            <v>Stores, Online, Supply Chain</v>
          </cell>
          <cell r="G76" t="str">
            <v>Stores</v>
          </cell>
        </row>
        <row r="77">
          <cell r="A77" t="str">
            <v>INC306</v>
          </cell>
          <cell r="B77">
            <v>45904</v>
          </cell>
          <cell r="C77" t="str">
            <v>Approx 500 Capita Contact Center colleagues are having issues with their P Account and are locked out currently</v>
          </cell>
          <cell r="D77" t="str">
            <v>P2</v>
          </cell>
          <cell r="E77" t="str">
            <v>Closed</v>
          </cell>
          <cell r="F77" t="str">
            <v>Contact Center</v>
          </cell>
          <cell r="G77" t="str">
            <v>Infrastructure</v>
          </cell>
        </row>
        <row r="78">
          <cell r="A78" t="str">
            <v>INC312</v>
          </cell>
          <cell r="B78">
            <v>45906</v>
          </cell>
          <cell r="C78" t="str">
            <v>Franchise &amp; Mainchain stores encountering issue while login in to Workstations</v>
          </cell>
          <cell r="D78" t="str">
            <v>P1</v>
          </cell>
          <cell r="E78" t="str">
            <v>Resolved</v>
          </cell>
          <cell r="F78" t="str">
            <v>Stores</v>
          </cell>
          <cell r="G78" t="str">
            <v>Stores</v>
          </cell>
        </row>
        <row r="79">
          <cell r="A79" t="str">
            <v>INC313</v>
          </cell>
          <cell r="B79">
            <v>45908</v>
          </cell>
          <cell r="C79" t="str">
            <v>Colleagues unable to login to Microsoft teams</v>
          </cell>
          <cell r="D79" t="str">
            <v>P2</v>
          </cell>
          <cell r="E79" t="str">
            <v>Resolved</v>
          </cell>
          <cell r="F79" t="str">
            <v xml:space="preserve">Loyalty , FH&amp;B </v>
          </cell>
          <cell r="G79" t="str">
            <v>Loyalty</v>
          </cell>
        </row>
        <row r="80">
          <cell r="A80" t="str">
            <v>INC314</v>
          </cell>
          <cell r="B80">
            <v>45908</v>
          </cell>
          <cell r="C80" t="str">
            <v>Capita Contact Centre colleagues unable to access WCS</v>
          </cell>
          <cell r="D80" t="str">
            <v>P1</v>
          </cell>
          <cell r="E80" t="str">
            <v>Resolved</v>
          </cell>
          <cell r="F80" t="str">
            <v>Online</v>
          </cell>
          <cell r="G80" t="str">
            <v>Online</v>
          </cell>
        </row>
        <row r="81">
          <cell r="A81" t="str">
            <v>INC315</v>
          </cell>
          <cell r="B81">
            <v>45908</v>
          </cell>
          <cell r="C81" t="str">
            <v>Sparks hub inaccesible on M&amp;S iOS app (Related)</v>
          </cell>
          <cell r="D81" t="str">
            <v>P2</v>
          </cell>
          <cell r="E81" t="str">
            <v>Resolved</v>
          </cell>
          <cell r="F81" t="str">
            <v>Online</v>
          </cell>
          <cell r="G81" t="str">
            <v>Online</v>
          </cell>
        </row>
        <row r="82">
          <cell r="A82" t="str">
            <v>INC316</v>
          </cell>
          <cell r="B82">
            <v>45908</v>
          </cell>
          <cell r="C82" t="str">
            <v>MPG (Mobile Pay Go) / Scan &amp; Shop Mobile inaccessible across iOS and Android apps across all the stores</v>
          </cell>
          <cell r="D82" t="str">
            <v>P1</v>
          </cell>
          <cell r="E82" t="str">
            <v>Resolved</v>
          </cell>
          <cell r="F82" t="str">
            <v>Stores</v>
          </cell>
          <cell r="G82" t="str">
            <v>Stores</v>
          </cell>
        </row>
        <row r="83">
          <cell r="A83" t="str">
            <v>INC318</v>
          </cell>
          <cell r="B83">
            <v>45910</v>
          </cell>
          <cell r="C83" t="str">
            <v>Non-resilient Digital cafés (9) are down</v>
          </cell>
          <cell r="D83" t="str">
            <v>P1</v>
          </cell>
          <cell r="E83" t="str">
            <v>Resolved</v>
          </cell>
          <cell r="F83" t="str">
            <v>Stores</v>
          </cell>
          <cell r="G83" t="str">
            <v>Stores</v>
          </cell>
        </row>
        <row r="84">
          <cell r="A84" t="str">
            <v>INC322</v>
          </cell>
          <cell r="B84">
            <v>45912</v>
          </cell>
          <cell r="C84" t="str">
            <v>Delay in sending FFO orders to the suppliers.</v>
          </cell>
          <cell r="D84" t="str">
            <v>P1</v>
          </cell>
          <cell r="E84" t="str">
            <v>Resolved</v>
          </cell>
          <cell r="F84" t="str">
            <v>Foods</v>
          </cell>
          <cell r="G84" t="str">
            <v>Food</v>
          </cell>
        </row>
        <row r="85">
          <cell r="A85" t="str">
            <v>INC325</v>
          </cell>
          <cell r="B85">
            <v>45912</v>
          </cell>
          <cell r="C85" t="str">
            <v>Welham Green DC lost HHT connectivity across the site</v>
          </cell>
          <cell r="D85" t="str">
            <v>P1</v>
          </cell>
          <cell r="E85" t="str">
            <v>Resolved</v>
          </cell>
          <cell r="F85" t="str">
            <v>Supply Chain</v>
          </cell>
          <cell r="G85" t="str">
            <v>Supply Chain</v>
          </cell>
        </row>
        <row r="86">
          <cell r="A86" t="str">
            <v>INC326</v>
          </cell>
          <cell r="B86">
            <v>45913</v>
          </cell>
          <cell r="C86" t="str">
            <v>Performance issue while extracting the data  in SAP GMOR system</v>
          </cell>
          <cell r="D86" t="str">
            <v>P2</v>
          </cell>
          <cell r="E86" t="str">
            <v>Resolved</v>
          </cell>
          <cell r="F86" t="str">
            <v xml:space="preserve">Finance , FH&amp;B, Foods </v>
          </cell>
          <cell r="G86" t="str">
            <v>Finance</v>
          </cell>
        </row>
        <row r="87">
          <cell r="A87" t="str">
            <v>INC327</v>
          </cell>
          <cell r="B87">
            <v>45914</v>
          </cell>
          <cell r="C87" t="str">
            <v>Store and DC Stock Discrepancy impacting the H1 finance reporting</v>
          </cell>
          <cell r="D87" t="str">
            <v>P2</v>
          </cell>
          <cell r="E87" t="str">
            <v>Resolved</v>
          </cell>
          <cell r="F87" t="str">
            <v>FH&amp;B, Finance, Stores</v>
          </cell>
          <cell r="G87" t="str">
            <v>Finance</v>
          </cell>
        </row>
        <row r="88">
          <cell r="A88" t="str">
            <v>INC328</v>
          </cell>
          <cell r="B88">
            <v>45914</v>
          </cell>
          <cell r="C88" t="str">
            <v xml:space="preserve">Order fulfilment messages not sent to Sherburn DC from OMS. </v>
          </cell>
          <cell r="D88" t="str">
            <v>P2</v>
          </cell>
          <cell r="E88" t="str">
            <v>Closed</v>
          </cell>
          <cell r="F88" t="str">
            <v>Supply Chain</v>
          </cell>
          <cell r="G88" t="str">
            <v>Online</v>
          </cell>
        </row>
        <row r="89">
          <cell r="A89" t="str">
            <v>INC329</v>
          </cell>
          <cell r="B89">
            <v>45914</v>
          </cell>
          <cell r="C89" t="str">
            <v xml:space="preserve">Performance issues with Pack screens and carrier label printing issues at Donington </v>
          </cell>
          <cell r="D89" t="str">
            <v>P2</v>
          </cell>
          <cell r="E89" t="str">
            <v>Closed</v>
          </cell>
          <cell r="F89" t="str">
            <v>Supply Chain</v>
          </cell>
          <cell r="G89" t="str">
            <v>Supply Chain</v>
          </cell>
        </row>
        <row r="90">
          <cell r="A90" t="str">
            <v>INC334</v>
          </cell>
          <cell r="B90">
            <v>45915</v>
          </cell>
          <cell r="C90" t="str">
            <v>Customers are facing "Sorry, something went wrong" error message while accessing basket in Desktop</v>
          </cell>
          <cell r="D90" t="str">
            <v>P2</v>
          </cell>
          <cell r="E90" t="str">
            <v>Closed</v>
          </cell>
          <cell r="F90" t="str">
            <v>Online</v>
          </cell>
          <cell r="G90" t="str">
            <v>Online</v>
          </cell>
        </row>
        <row r="91">
          <cell r="A91" t="str">
            <v>INC335</v>
          </cell>
          <cell r="B91">
            <v>45915</v>
          </cell>
          <cell r="C91" t="str">
            <v>All apple green franchise stores sales messages flow to downstream has an issue impacting the deliveries in to store.</v>
          </cell>
          <cell r="D91" t="str">
            <v>P1</v>
          </cell>
          <cell r="E91" t="str">
            <v>Closed</v>
          </cell>
          <cell r="F91" t="str">
            <v>Stores</v>
          </cell>
          <cell r="G91" t="str">
            <v>Stores</v>
          </cell>
        </row>
        <row r="92">
          <cell r="A92" t="str">
            <v>INC337</v>
          </cell>
          <cell r="B92">
            <v>45916</v>
          </cell>
          <cell r="C92" t="str">
            <v>PLM application inaccessible to FH&amp;B and supplier colleagues</v>
          </cell>
          <cell r="D92" t="str">
            <v>P2</v>
          </cell>
          <cell r="E92" t="str">
            <v>Closed</v>
          </cell>
          <cell r="F92" t="str">
            <v>FH&amp;B</v>
          </cell>
          <cell r="G92" t="str">
            <v>FH&amp;B</v>
          </cell>
        </row>
        <row r="93">
          <cell r="A93" t="str">
            <v>INC339</v>
          </cell>
          <cell r="B93">
            <v>45916</v>
          </cell>
          <cell r="C93" t="str">
            <v>Stores are reporting issues with online returns and payment on online orders</v>
          </cell>
          <cell r="D93" t="str">
            <v>P2</v>
          </cell>
          <cell r="E93" t="str">
            <v>Closed</v>
          </cell>
          <cell r="F93" t="str">
            <v>Stores &amp; Online</v>
          </cell>
          <cell r="G93" t="str">
            <v>Stores</v>
          </cell>
        </row>
        <row r="94">
          <cell r="A94" t="str">
            <v>INC340</v>
          </cell>
          <cell r="B94">
            <v>45916</v>
          </cell>
          <cell r="C94" t="str">
            <v>All the stores tills went offline impacting store operations.</v>
          </cell>
          <cell r="D94" t="str">
            <v>P1</v>
          </cell>
          <cell r="E94" t="str">
            <v>Closed</v>
          </cell>
          <cell r="F94" t="str">
            <v>Stores</v>
          </cell>
          <cell r="G94" t="str">
            <v>Stores</v>
          </cell>
        </row>
        <row r="95">
          <cell r="A95" t="str">
            <v>INC341</v>
          </cell>
          <cell r="B95">
            <v>45917</v>
          </cell>
          <cell r="C95" t="str">
            <v>In stores, customer sparks offers are intermittently failing</v>
          </cell>
          <cell r="D95" t="str">
            <v>P2</v>
          </cell>
          <cell r="E95" t="str">
            <v>Closed</v>
          </cell>
          <cell r="F95" t="str">
            <v>Loyalty</v>
          </cell>
          <cell r="G95" t="str">
            <v>Loyalty</v>
          </cell>
        </row>
        <row r="96">
          <cell r="A96" t="str">
            <v>INC342</v>
          </cell>
          <cell r="B96">
            <v>45917</v>
          </cell>
          <cell r="C96" t="str">
            <v>Contactless Payments unavailable in stores</v>
          </cell>
          <cell r="D96" t="str">
            <v>P1</v>
          </cell>
          <cell r="E96" t="str">
            <v>Closed</v>
          </cell>
          <cell r="F96" t="str">
            <v>Stores</v>
          </cell>
          <cell r="G96" t="str">
            <v>Stores</v>
          </cell>
        </row>
        <row r="97">
          <cell r="A97" t="str">
            <v>INC345</v>
          </cell>
          <cell r="B97">
            <v>45918</v>
          </cell>
          <cell r="C97" t="str">
            <v xml:space="preserve">Food VMS are not accessible </v>
          </cell>
          <cell r="D97" t="str">
            <v>P2</v>
          </cell>
          <cell r="E97" t="str">
            <v>Closed</v>
          </cell>
          <cell r="F97" t="str">
            <v>Stores</v>
          </cell>
          <cell r="G97" t="str">
            <v>Food</v>
          </cell>
        </row>
        <row r="98">
          <cell r="A98" t="str">
            <v>INC346</v>
          </cell>
          <cell r="B98">
            <v>45919</v>
          </cell>
          <cell r="C98" t="str">
            <v>SAP System Landscape Transformation (SLT) Slowness Impacting Stock Integrity Reports for DCs and Stores</v>
          </cell>
          <cell r="D98" t="str">
            <v>P2</v>
          </cell>
          <cell r="E98" t="str">
            <v>Resolved</v>
          </cell>
          <cell r="F98" t="str">
            <v>Finance</v>
          </cell>
          <cell r="G98" t="str">
            <v>Finance</v>
          </cell>
        </row>
        <row r="99">
          <cell r="A99" t="str">
            <v>INC347</v>
          </cell>
          <cell r="B99">
            <v>45919</v>
          </cell>
          <cell r="C99" t="str">
            <v>Store colleagues from multiple stores are unable to login to Microsoft related applications like Microsoft Teams , Open access etc on their workstations</v>
          </cell>
          <cell r="D99" t="str">
            <v>P2</v>
          </cell>
          <cell r="E99" t="str">
            <v>In Progress</v>
          </cell>
          <cell r="F99" t="str">
            <v>Stores</v>
          </cell>
          <cell r="G99" t="str">
            <v>Stores</v>
          </cell>
        </row>
        <row r="100">
          <cell r="A100" t="str">
            <v>INC350</v>
          </cell>
          <cell r="B100">
            <v>45921</v>
          </cell>
          <cell r="C100" t="str">
            <v>Delay in GMOR reporting</v>
          </cell>
          <cell r="D100" t="str">
            <v>P2</v>
          </cell>
          <cell r="E100" t="str">
            <v>Resolved</v>
          </cell>
          <cell r="F100" t="str">
            <v>Finance</v>
          </cell>
          <cell r="G100" t="str">
            <v>Finance</v>
          </cell>
        </row>
        <row r="101">
          <cell r="A101" t="str">
            <v>INC352</v>
          </cell>
          <cell r="B101">
            <v>45922</v>
          </cell>
          <cell r="C101" t="str">
            <v>No GRs flowing to GIST for Hemel depot</v>
          </cell>
          <cell r="D101" t="str">
            <v>P2</v>
          </cell>
          <cell r="E101" t="str">
            <v>Resolved</v>
          </cell>
          <cell r="F101" t="str">
            <v>Foods</v>
          </cell>
          <cell r="G101" t="str">
            <v>Foods</v>
          </cell>
        </row>
        <row r="102">
          <cell r="A102" t="str">
            <v>INC353</v>
          </cell>
          <cell r="B102">
            <v>45922</v>
          </cell>
          <cell r="C102" t="str">
            <v>Stores unable to print DPD labels for ISF orders</v>
          </cell>
          <cell r="D102" t="str">
            <v>P2</v>
          </cell>
          <cell r="E102" t="str">
            <v>Resolved</v>
          </cell>
          <cell r="F102" t="str">
            <v>Online</v>
          </cell>
          <cell r="G102" t="str">
            <v>Stores</v>
          </cell>
        </row>
        <row r="103">
          <cell r="A103" t="str">
            <v>INC355</v>
          </cell>
          <cell r="B103">
            <v>45923</v>
          </cell>
          <cell r="C103" t="str">
            <v>Sales value mismatch between EDW and Baby BEAM where Baby BEAM is understated</v>
          </cell>
          <cell r="D103" t="str">
            <v>P2</v>
          </cell>
          <cell r="E103" t="str">
            <v>In Progress</v>
          </cell>
          <cell r="F103" t="str">
            <v xml:space="preserve">Finance </v>
          </cell>
          <cell r="G103" t="str">
            <v>Finance</v>
          </cell>
        </row>
        <row r="104">
          <cell r="A104" t="str">
            <v>INC356</v>
          </cell>
          <cell r="B104">
            <v>45923</v>
          </cell>
          <cell r="C104" t="str">
            <v>Ollerton DC colleagues are unable to print labels across the site.</v>
          </cell>
          <cell r="D104" t="str">
            <v>P2</v>
          </cell>
          <cell r="E104" t="str">
            <v>Resolved</v>
          </cell>
          <cell r="F104" t="str">
            <v>Supply Chain</v>
          </cell>
          <cell r="G104" t="str">
            <v>Supply Chain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8A9C-C4D1-4493-B8AA-E6DBD03A49FC}">
  <dimension ref="A1:U192"/>
  <sheetViews>
    <sheetView tabSelected="1" workbookViewId="0">
      <pane xSplit="6" ySplit="1" topLeftCell="M1048566" activePane="bottomRight" state="frozenSplit"/>
      <selection pane="bottomRight" activeCell="A193" sqref="A193:Y1048576"/>
      <selection pane="bottomLeft" activeCell="A2" sqref="A2"/>
      <selection pane="topRight" activeCell="G1" sqref="G1"/>
    </sheetView>
  </sheetViews>
  <sheetFormatPr defaultRowHeight="15"/>
  <cols>
    <col min="1" max="1" width="11.5703125" customWidth="1"/>
    <col min="2" max="2" width="17" customWidth="1"/>
    <col min="5" max="5" width="11.85546875" customWidth="1"/>
    <col min="6" max="6" width="6.42578125" bestFit="1" customWidth="1"/>
    <col min="7" max="7" width="18.28515625" bestFit="1" customWidth="1"/>
    <col min="11" max="11" width="13.5703125" customWidth="1"/>
    <col min="12" max="12" width="19.7109375" customWidth="1"/>
    <col min="17" max="17" width="11" customWidth="1"/>
  </cols>
  <sheetData>
    <row r="1" spans="1:21" ht="67.5">
      <c r="A1" s="71" t="s">
        <v>0</v>
      </c>
      <c r="B1" s="71" t="s">
        <v>1</v>
      </c>
      <c r="C1" s="71" t="s">
        <v>2</v>
      </c>
      <c r="D1" s="71" t="s">
        <v>3</v>
      </c>
      <c r="E1" s="71" t="s">
        <v>4</v>
      </c>
      <c r="F1" s="71" t="s">
        <v>5</v>
      </c>
      <c r="G1" s="71" t="s">
        <v>6</v>
      </c>
      <c r="H1" s="71" t="s">
        <v>7</v>
      </c>
      <c r="I1" s="71" t="s">
        <v>8</v>
      </c>
      <c r="J1" s="71" t="s">
        <v>9</v>
      </c>
      <c r="K1" s="71" t="s">
        <v>10</v>
      </c>
      <c r="L1" s="71" t="s">
        <v>11</v>
      </c>
      <c r="M1" s="71" t="s">
        <v>12</v>
      </c>
      <c r="N1" s="71" t="s">
        <v>13</v>
      </c>
      <c r="O1" s="71" t="s">
        <v>14</v>
      </c>
      <c r="P1" s="71" t="s">
        <v>15</v>
      </c>
      <c r="Q1" s="71" t="s">
        <v>16</v>
      </c>
      <c r="R1" s="71" t="s">
        <v>17</v>
      </c>
      <c r="S1" s="71" t="s">
        <v>18</v>
      </c>
      <c r="T1" s="71" t="s">
        <v>19</v>
      </c>
      <c r="U1" s="71" t="s">
        <v>20</v>
      </c>
    </row>
    <row r="2" spans="1:21">
      <c r="A2" s="3" t="s">
        <v>21</v>
      </c>
      <c r="B2" s="4"/>
      <c r="C2" s="5">
        <v>45786</v>
      </c>
      <c r="D2" s="6">
        <v>45786</v>
      </c>
      <c r="E2" s="7" t="s">
        <v>22</v>
      </c>
      <c r="F2" s="13" t="s">
        <v>23</v>
      </c>
      <c r="G2" s="3" t="s">
        <v>24</v>
      </c>
      <c r="H2" s="8" t="s">
        <v>25</v>
      </c>
      <c r="I2" s="8" t="s">
        <v>25</v>
      </c>
      <c r="J2" s="9" t="s">
        <v>26</v>
      </c>
      <c r="K2" s="10" t="s">
        <v>27</v>
      </c>
      <c r="L2" s="11">
        <v>45788</v>
      </c>
      <c r="M2" s="8" t="s">
        <v>28</v>
      </c>
      <c r="N2" s="8"/>
      <c r="O2" s="8" t="s">
        <v>29</v>
      </c>
      <c r="P2" s="8"/>
      <c r="Q2" s="46" t="e">
        <v>#N/A</v>
      </c>
      <c r="R2" s="46" t="e">
        <v>#N/A</v>
      </c>
      <c r="S2" s="46" t="e">
        <v>#N/A</v>
      </c>
      <c r="T2" s="46" t="e">
        <v>#N/A</v>
      </c>
      <c r="U2" s="46" t="e">
        <v>#N/A</v>
      </c>
    </row>
    <row r="3" spans="1:21">
      <c r="A3" s="3" t="s">
        <v>30</v>
      </c>
      <c r="B3" s="4"/>
      <c r="C3" s="5">
        <v>45783</v>
      </c>
      <c r="D3" s="6">
        <v>45783</v>
      </c>
      <c r="E3" s="7" t="s">
        <v>31</v>
      </c>
      <c r="F3" s="13" t="s">
        <v>32</v>
      </c>
      <c r="G3" s="3" t="s">
        <v>24</v>
      </c>
      <c r="H3" s="8" t="s">
        <v>33</v>
      </c>
      <c r="I3" s="8" t="s">
        <v>33</v>
      </c>
      <c r="J3" s="9" t="s">
        <v>34</v>
      </c>
      <c r="K3" s="10" t="s">
        <v>35</v>
      </c>
      <c r="L3" s="11">
        <v>45804</v>
      </c>
      <c r="M3" s="8" t="s">
        <v>36</v>
      </c>
      <c r="N3" s="8"/>
      <c r="O3" s="8" t="s">
        <v>37</v>
      </c>
      <c r="P3" s="8"/>
      <c r="Q3" s="46" t="e">
        <v>#N/A</v>
      </c>
      <c r="R3" s="46" t="e">
        <v>#N/A</v>
      </c>
      <c r="S3" s="46" t="e">
        <v>#N/A</v>
      </c>
      <c r="T3" s="46" t="e">
        <v>#N/A</v>
      </c>
      <c r="U3" s="46" t="e">
        <v>#N/A</v>
      </c>
    </row>
    <row r="4" spans="1:21">
      <c r="A4" s="3" t="s">
        <v>38</v>
      </c>
      <c r="B4" s="4"/>
      <c r="C4" s="5">
        <v>45786</v>
      </c>
      <c r="D4" s="6">
        <v>45786</v>
      </c>
      <c r="E4" s="7" t="s">
        <v>39</v>
      </c>
      <c r="F4" s="13" t="s">
        <v>32</v>
      </c>
      <c r="G4" s="3" t="s">
        <v>24</v>
      </c>
      <c r="H4" s="8" t="s">
        <v>25</v>
      </c>
      <c r="I4" s="8" t="s">
        <v>25</v>
      </c>
      <c r="J4" s="9" t="s">
        <v>40</v>
      </c>
      <c r="K4" s="10" t="s">
        <v>41</v>
      </c>
      <c r="L4" s="11">
        <v>45789</v>
      </c>
      <c r="M4" s="8" t="s">
        <v>28</v>
      </c>
      <c r="N4" s="8" t="s">
        <v>42</v>
      </c>
      <c r="O4" s="8" t="s">
        <v>43</v>
      </c>
      <c r="P4" s="8"/>
      <c r="Q4" s="46" t="e">
        <v>#N/A</v>
      </c>
      <c r="R4" s="46" t="e">
        <v>#N/A</v>
      </c>
      <c r="S4" s="46" t="e">
        <v>#N/A</v>
      </c>
      <c r="T4" s="46" t="e">
        <v>#N/A</v>
      </c>
      <c r="U4" s="46" t="e">
        <v>#N/A</v>
      </c>
    </row>
    <row r="5" spans="1:21">
      <c r="A5" s="3" t="s">
        <v>44</v>
      </c>
      <c r="B5" s="4"/>
      <c r="C5" s="5">
        <v>45787</v>
      </c>
      <c r="D5" s="6">
        <v>45787</v>
      </c>
      <c r="E5" s="7" t="s">
        <v>45</v>
      </c>
      <c r="F5" s="13" t="s">
        <v>23</v>
      </c>
      <c r="G5" s="3" t="s">
        <v>24</v>
      </c>
      <c r="H5" s="8" t="s">
        <v>25</v>
      </c>
      <c r="I5" s="8" t="s">
        <v>25</v>
      </c>
      <c r="J5" s="9" t="s">
        <v>46</v>
      </c>
      <c r="K5" s="10" t="s">
        <v>47</v>
      </c>
      <c r="L5" s="11">
        <v>45792</v>
      </c>
      <c r="M5" s="8" t="s">
        <v>28</v>
      </c>
      <c r="N5" s="8"/>
      <c r="O5" s="8" t="s">
        <v>43</v>
      </c>
      <c r="P5" s="8"/>
      <c r="Q5" s="46" t="e">
        <v>#N/A</v>
      </c>
      <c r="R5" s="46" t="e">
        <v>#N/A</v>
      </c>
      <c r="S5" s="46" t="e">
        <v>#N/A</v>
      </c>
      <c r="T5" s="46" t="e">
        <v>#N/A</v>
      </c>
      <c r="U5" s="46" t="e">
        <v>#N/A</v>
      </c>
    </row>
    <row r="6" spans="1:21">
      <c r="A6" s="3" t="s">
        <v>48</v>
      </c>
      <c r="B6" s="4"/>
      <c r="C6" s="5">
        <v>45787</v>
      </c>
      <c r="D6" s="6">
        <v>45787</v>
      </c>
      <c r="E6" s="7" t="s">
        <v>49</v>
      </c>
      <c r="F6" s="3" t="s">
        <v>32</v>
      </c>
      <c r="G6" s="3" t="s">
        <v>24</v>
      </c>
      <c r="H6" s="8" t="s">
        <v>25</v>
      </c>
      <c r="I6" s="8" t="s">
        <v>25</v>
      </c>
      <c r="J6" s="9" t="s">
        <v>50</v>
      </c>
      <c r="K6" s="10" t="s">
        <v>51</v>
      </c>
      <c r="L6" s="11">
        <v>45792</v>
      </c>
      <c r="M6" s="8" t="s">
        <v>28</v>
      </c>
      <c r="N6" s="8"/>
      <c r="O6" s="8" t="s">
        <v>52</v>
      </c>
      <c r="P6" s="8"/>
      <c r="Q6" s="46" t="e">
        <v>#N/A</v>
      </c>
      <c r="R6" s="46" t="e">
        <v>#N/A</v>
      </c>
      <c r="S6" s="46" t="e">
        <v>#N/A</v>
      </c>
      <c r="T6" s="46" t="e">
        <v>#N/A</v>
      </c>
      <c r="U6" s="46" t="e">
        <v>#N/A</v>
      </c>
    </row>
    <row r="7" spans="1:21">
      <c r="A7" s="3" t="s">
        <v>53</v>
      </c>
      <c r="B7" s="4"/>
      <c r="C7" s="5">
        <v>45788</v>
      </c>
      <c r="D7" s="6">
        <v>45788</v>
      </c>
      <c r="E7" s="7" t="s">
        <v>54</v>
      </c>
      <c r="F7" s="3" t="s">
        <v>23</v>
      </c>
      <c r="G7" s="3" t="s">
        <v>24</v>
      </c>
      <c r="H7" s="8" t="s">
        <v>55</v>
      </c>
      <c r="I7" s="8" t="s">
        <v>55</v>
      </c>
      <c r="J7" s="9" t="s">
        <v>56</v>
      </c>
      <c r="K7" s="10" t="s">
        <v>57</v>
      </c>
      <c r="L7" s="11">
        <v>45789</v>
      </c>
      <c r="M7" s="8" t="s">
        <v>28</v>
      </c>
      <c r="N7" s="8" t="s">
        <v>58</v>
      </c>
      <c r="O7" s="8" t="s">
        <v>59</v>
      </c>
      <c r="P7" s="8"/>
      <c r="Q7" s="46" t="e">
        <v>#N/A</v>
      </c>
      <c r="R7" s="46" t="e">
        <v>#N/A</v>
      </c>
      <c r="S7" s="46" t="e">
        <v>#N/A</v>
      </c>
      <c r="T7" s="46" t="e">
        <v>#N/A</v>
      </c>
      <c r="U7" s="46" t="e">
        <v>#N/A</v>
      </c>
    </row>
    <row r="8" spans="1:21">
      <c r="A8" s="3" t="s">
        <v>60</v>
      </c>
      <c r="B8" s="4"/>
      <c r="C8" s="5">
        <v>45789</v>
      </c>
      <c r="D8" s="6">
        <v>45789</v>
      </c>
      <c r="E8" s="7" t="s">
        <v>61</v>
      </c>
      <c r="F8" s="3" t="s">
        <v>32</v>
      </c>
      <c r="G8" s="3" t="s">
        <v>24</v>
      </c>
      <c r="H8" s="8" t="s">
        <v>25</v>
      </c>
      <c r="I8" s="8" t="s">
        <v>25</v>
      </c>
      <c r="J8" s="9" t="s">
        <v>62</v>
      </c>
      <c r="K8" s="10" t="s">
        <v>63</v>
      </c>
      <c r="L8" s="11">
        <v>45789</v>
      </c>
      <c r="M8" s="8" t="s">
        <v>28</v>
      </c>
      <c r="N8" s="8" t="s">
        <v>58</v>
      </c>
      <c r="O8" s="8" t="s">
        <v>29</v>
      </c>
      <c r="P8" s="8"/>
      <c r="Q8" s="46" t="e">
        <v>#N/A</v>
      </c>
      <c r="R8" s="46" t="e">
        <v>#N/A</v>
      </c>
      <c r="S8" s="46" t="e">
        <v>#N/A</v>
      </c>
      <c r="T8" s="46" t="e">
        <v>#N/A</v>
      </c>
      <c r="U8" s="46" t="e">
        <v>#N/A</v>
      </c>
    </row>
    <row r="9" spans="1:21">
      <c r="A9" s="3" t="s">
        <v>64</v>
      </c>
      <c r="B9" s="4"/>
      <c r="C9" s="5">
        <v>45789</v>
      </c>
      <c r="D9" s="6">
        <v>45789</v>
      </c>
      <c r="E9" s="7" t="s">
        <v>65</v>
      </c>
      <c r="F9" s="3" t="s">
        <v>32</v>
      </c>
      <c r="G9" s="3" t="s">
        <v>24</v>
      </c>
      <c r="H9" s="8" t="s">
        <v>33</v>
      </c>
      <c r="I9" s="8" t="s">
        <v>33</v>
      </c>
      <c r="J9" s="9" t="s">
        <v>66</v>
      </c>
      <c r="K9" s="10" t="s">
        <v>67</v>
      </c>
      <c r="L9" s="11">
        <v>45791</v>
      </c>
      <c r="M9" s="8" t="s">
        <v>68</v>
      </c>
      <c r="N9" s="8" t="s">
        <v>69</v>
      </c>
      <c r="O9" s="8" t="s">
        <v>70</v>
      </c>
      <c r="P9" s="8"/>
      <c r="Q9" s="46" t="e">
        <v>#N/A</v>
      </c>
      <c r="R9" s="46" t="e">
        <v>#N/A</v>
      </c>
      <c r="S9" s="46" t="e">
        <v>#N/A</v>
      </c>
      <c r="T9" s="46" t="e">
        <v>#N/A</v>
      </c>
      <c r="U9" s="46" t="e">
        <v>#N/A</v>
      </c>
    </row>
    <row r="10" spans="1:21">
      <c r="A10" s="3" t="s">
        <v>71</v>
      </c>
      <c r="B10" s="4"/>
      <c r="C10" s="5">
        <v>45790</v>
      </c>
      <c r="D10" s="6">
        <v>45790</v>
      </c>
      <c r="E10" s="7" t="s">
        <v>72</v>
      </c>
      <c r="F10" s="3" t="s">
        <v>32</v>
      </c>
      <c r="G10" s="3" t="s">
        <v>24</v>
      </c>
      <c r="H10" s="8" t="s">
        <v>55</v>
      </c>
      <c r="I10" s="8" t="s">
        <v>55</v>
      </c>
      <c r="J10" s="9" t="s">
        <v>73</v>
      </c>
      <c r="K10" s="10" t="s">
        <v>74</v>
      </c>
      <c r="L10" s="11">
        <v>45790</v>
      </c>
      <c r="M10" s="8" t="s">
        <v>75</v>
      </c>
      <c r="N10" s="8"/>
      <c r="O10" s="8" t="s">
        <v>59</v>
      </c>
      <c r="P10" s="8"/>
      <c r="Q10" s="46" t="e">
        <v>#N/A</v>
      </c>
      <c r="R10" s="46" t="e">
        <v>#N/A</v>
      </c>
      <c r="S10" s="46" t="e">
        <v>#N/A</v>
      </c>
      <c r="T10" s="46" t="e">
        <v>#N/A</v>
      </c>
      <c r="U10" s="46" t="e">
        <v>#N/A</v>
      </c>
    </row>
    <row r="11" spans="1:21">
      <c r="A11" s="3" t="s">
        <v>76</v>
      </c>
      <c r="B11" s="4"/>
      <c r="C11" s="5">
        <v>45790</v>
      </c>
      <c r="D11" s="6">
        <v>45790</v>
      </c>
      <c r="E11" s="7" t="s">
        <v>77</v>
      </c>
      <c r="F11" s="3" t="s">
        <v>23</v>
      </c>
      <c r="G11" s="3" t="s">
        <v>24</v>
      </c>
      <c r="H11" s="8" t="s">
        <v>25</v>
      </c>
      <c r="I11" s="8" t="s">
        <v>25</v>
      </c>
      <c r="J11" s="9" t="s">
        <v>78</v>
      </c>
      <c r="K11" s="10" t="s">
        <v>79</v>
      </c>
      <c r="L11" s="11">
        <v>45811</v>
      </c>
      <c r="M11" s="8" t="s">
        <v>28</v>
      </c>
      <c r="N11" s="8"/>
      <c r="O11" s="8" t="s">
        <v>43</v>
      </c>
      <c r="P11" s="8"/>
      <c r="Q11" s="46" t="e">
        <v>#N/A</v>
      </c>
      <c r="R11" s="46" t="e">
        <v>#N/A</v>
      </c>
      <c r="S11" s="46" t="e">
        <v>#N/A</v>
      </c>
      <c r="T11" s="46" t="e">
        <v>#N/A</v>
      </c>
      <c r="U11" s="46" t="e">
        <v>#N/A</v>
      </c>
    </row>
    <row r="12" spans="1:21">
      <c r="A12" s="3" t="s">
        <v>80</v>
      </c>
      <c r="B12" s="4"/>
      <c r="C12" s="5">
        <v>45790</v>
      </c>
      <c r="D12" s="6">
        <v>45790</v>
      </c>
      <c r="E12" s="7" t="s">
        <v>81</v>
      </c>
      <c r="F12" s="3" t="s">
        <v>32</v>
      </c>
      <c r="G12" s="3" t="s">
        <v>24</v>
      </c>
      <c r="H12" s="8" t="s">
        <v>33</v>
      </c>
      <c r="I12" s="8" t="s">
        <v>33</v>
      </c>
      <c r="J12" s="9" t="s">
        <v>82</v>
      </c>
      <c r="K12" s="10" t="s">
        <v>83</v>
      </c>
      <c r="L12" s="11">
        <v>45790</v>
      </c>
      <c r="M12" s="8" t="s">
        <v>84</v>
      </c>
      <c r="N12" s="8"/>
      <c r="O12" s="8" t="s">
        <v>85</v>
      </c>
      <c r="P12" s="8"/>
      <c r="Q12" s="46" t="e">
        <v>#N/A</v>
      </c>
      <c r="R12" s="46" t="e">
        <v>#N/A</v>
      </c>
      <c r="S12" s="46" t="e">
        <v>#N/A</v>
      </c>
      <c r="T12" s="46" t="e">
        <v>#N/A</v>
      </c>
      <c r="U12" s="46" t="e">
        <v>#N/A</v>
      </c>
    </row>
    <row r="13" spans="1:21">
      <c r="A13" s="3" t="s">
        <v>86</v>
      </c>
      <c r="B13" s="4"/>
      <c r="C13" s="5">
        <v>45789</v>
      </c>
      <c r="D13" s="6">
        <v>45789</v>
      </c>
      <c r="E13" s="7" t="s">
        <v>87</v>
      </c>
      <c r="F13" s="3" t="s">
        <v>23</v>
      </c>
      <c r="G13" s="3" t="s">
        <v>24</v>
      </c>
      <c r="H13" s="8" t="s">
        <v>25</v>
      </c>
      <c r="I13" s="8" t="s">
        <v>25</v>
      </c>
      <c r="J13" s="9" t="s">
        <v>88</v>
      </c>
      <c r="K13" s="10" t="s">
        <v>89</v>
      </c>
      <c r="L13" s="11">
        <v>45792</v>
      </c>
      <c r="M13" s="8" t="s">
        <v>28</v>
      </c>
      <c r="N13" s="8" t="s">
        <v>58</v>
      </c>
      <c r="O13" s="8" t="s">
        <v>43</v>
      </c>
      <c r="P13" s="8"/>
      <c r="Q13" s="46" t="e">
        <v>#N/A</v>
      </c>
      <c r="R13" s="46" t="e">
        <v>#N/A</v>
      </c>
      <c r="S13" s="46" t="e">
        <v>#N/A</v>
      </c>
      <c r="T13" s="46" t="e">
        <v>#N/A</v>
      </c>
      <c r="U13" s="46" t="e">
        <v>#N/A</v>
      </c>
    </row>
    <row r="14" spans="1:21">
      <c r="A14" s="3" t="s">
        <v>90</v>
      </c>
      <c r="B14" s="4"/>
      <c r="C14" s="5">
        <v>45791</v>
      </c>
      <c r="D14" s="6">
        <v>45791</v>
      </c>
      <c r="E14" s="7" t="s">
        <v>91</v>
      </c>
      <c r="F14" s="3" t="s">
        <v>23</v>
      </c>
      <c r="G14" s="3" t="s">
        <v>24</v>
      </c>
      <c r="H14" s="8" t="s">
        <v>25</v>
      </c>
      <c r="I14" s="8" t="s">
        <v>25</v>
      </c>
      <c r="J14" s="9" t="s">
        <v>92</v>
      </c>
      <c r="K14" s="10" t="s">
        <v>93</v>
      </c>
      <c r="L14" s="11">
        <v>45793</v>
      </c>
      <c r="M14" s="8" t="s">
        <v>28</v>
      </c>
      <c r="N14" s="8" t="s">
        <v>94</v>
      </c>
      <c r="O14" s="8" t="s">
        <v>43</v>
      </c>
      <c r="P14" s="8"/>
      <c r="Q14" s="46" t="e">
        <v>#N/A</v>
      </c>
      <c r="R14" s="46" t="e">
        <v>#N/A</v>
      </c>
      <c r="S14" s="46" t="e">
        <v>#N/A</v>
      </c>
      <c r="T14" s="46" t="e">
        <v>#N/A</v>
      </c>
      <c r="U14" s="46" t="e">
        <v>#N/A</v>
      </c>
    </row>
    <row r="15" spans="1:21">
      <c r="A15" s="3" t="s">
        <v>95</v>
      </c>
      <c r="B15" s="4"/>
      <c r="C15" s="5">
        <v>45792</v>
      </c>
      <c r="D15" s="6">
        <v>45792</v>
      </c>
      <c r="E15" s="7" t="s">
        <v>96</v>
      </c>
      <c r="F15" s="13" t="s">
        <v>23</v>
      </c>
      <c r="G15" s="3" t="s">
        <v>24</v>
      </c>
      <c r="H15" s="8" t="s">
        <v>33</v>
      </c>
      <c r="I15" s="8" t="s">
        <v>33</v>
      </c>
      <c r="J15" s="9" t="s">
        <v>97</v>
      </c>
      <c r="K15" s="10" t="s">
        <v>98</v>
      </c>
      <c r="L15" s="11">
        <v>45792</v>
      </c>
      <c r="M15" s="15" t="s">
        <v>99</v>
      </c>
      <c r="N15" s="15"/>
      <c r="O15" s="15" t="s">
        <v>100</v>
      </c>
      <c r="P15" s="8"/>
      <c r="Q15" s="46" t="e">
        <v>#N/A</v>
      </c>
      <c r="R15" s="46" t="e">
        <v>#N/A</v>
      </c>
      <c r="S15" s="46" t="e">
        <v>#N/A</v>
      </c>
      <c r="T15" s="46" t="e">
        <v>#N/A</v>
      </c>
      <c r="U15" s="46" t="e">
        <v>#N/A</v>
      </c>
    </row>
    <row r="16" spans="1:21">
      <c r="A16" s="3" t="s">
        <v>101</v>
      </c>
      <c r="B16" s="4"/>
      <c r="C16" s="5">
        <v>45798</v>
      </c>
      <c r="D16" s="6">
        <v>45798</v>
      </c>
      <c r="E16" s="7" t="s">
        <v>102</v>
      </c>
      <c r="F16" s="3" t="s">
        <v>23</v>
      </c>
      <c r="G16" s="3" t="s">
        <v>24</v>
      </c>
      <c r="H16" s="8" t="s">
        <v>103</v>
      </c>
      <c r="I16" s="8" t="s">
        <v>103</v>
      </c>
      <c r="J16" s="9" t="s">
        <v>104</v>
      </c>
      <c r="K16" s="10" t="s">
        <v>105</v>
      </c>
      <c r="L16" s="11">
        <v>45798</v>
      </c>
      <c r="M16" s="8" t="s">
        <v>99</v>
      </c>
      <c r="N16" s="8"/>
      <c r="O16" s="8" t="s">
        <v>106</v>
      </c>
      <c r="P16" s="8"/>
      <c r="Q16" s="46" t="e">
        <v>#N/A</v>
      </c>
      <c r="R16" s="46" t="e">
        <v>#N/A</v>
      </c>
      <c r="S16" s="46" t="e">
        <v>#N/A</v>
      </c>
      <c r="T16" s="46" t="e">
        <v>#N/A</v>
      </c>
      <c r="U16" s="46" t="e">
        <v>#N/A</v>
      </c>
    </row>
    <row r="17" spans="1:21">
      <c r="A17" s="3" t="s">
        <v>107</v>
      </c>
      <c r="B17" s="4"/>
      <c r="C17" s="5">
        <v>45798</v>
      </c>
      <c r="D17" s="6">
        <v>45798</v>
      </c>
      <c r="E17" s="7" t="s">
        <v>108</v>
      </c>
      <c r="F17" s="3" t="s">
        <v>32</v>
      </c>
      <c r="G17" s="3" t="s">
        <v>24</v>
      </c>
      <c r="H17" s="8" t="s">
        <v>33</v>
      </c>
      <c r="I17" s="8" t="s">
        <v>33</v>
      </c>
      <c r="J17" s="9" t="s">
        <v>109</v>
      </c>
      <c r="K17" s="10" t="s">
        <v>110</v>
      </c>
      <c r="L17" s="11">
        <v>45799</v>
      </c>
      <c r="M17" s="8" t="s">
        <v>68</v>
      </c>
      <c r="N17" s="8"/>
      <c r="O17" s="8" t="s">
        <v>111</v>
      </c>
      <c r="P17" s="8"/>
      <c r="Q17" s="46" t="e">
        <v>#N/A</v>
      </c>
      <c r="R17" s="46" t="e">
        <v>#N/A</v>
      </c>
      <c r="S17" s="46" t="e">
        <v>#N/A</v>
      </c>
      <c r="T17" s="46" t="e">
        <v>#N/A</v>
      </c>
      <c r="U17" s="46" t="e">
        <v>#N/A</v>
      </c>
    </row>
    <row r="18" spans="1:21">
      <c r="A18" s="3" t="s">
        <v>112</v>
      </c>
      <c r="B18" s="4"/>
      <c r="C18" s="5">
        <v>45798</v>
      </c>
      <c r="D18" s="6">
        <v>45798</v>
      </c>
      <c r="E18" s="7" t="s">
        <v>113</v>
      </c>
      <c r="F18" s="3" t="s">
        <v>23</v>
      </c>
      <c r="G18" s="3" t="s">
        <v>24</v>
      </c>
      <c r="H18" s="8" t="s">
        <v>25</v>
      </c>
      <c r="I18" s="8" t="s">
        <v>25</v>
      </c>
      <c r="J18" s="9" t="s">
        <v>114</v>
      </c>
      <c r="K18" s="10" t="s">
        <v>115</v>
      </c>
      <c r="L18" s="11">
        <v>45801</v>
      </c>
      <c r="M18" s="8" t="s">
        <v>68</v>
      </c>
      <c r="N18" s="8"/>
      <c r="O18" s="8" t="s">
        <v>29</v>
      </c>
      <c r="P18" s="8"/>
      <c r="Q18" s="46" t="e">
        <v>#N/A</v>
      </c>
      <c r="R18" s="46" t="e">
        <v>#N/A</v>
      </c>
      <c r="S18" s="46" t="e">
        <v>#N/A</v>
      </c>
      <c r="T18" s="46" t="e">
        <v>#N/A</v>
      </c>
      <c r="U18" s="46" t="e">
        <v>#N/A</v>
      </c>
    </row>
    <row r="19" spans="1:21">
      <c r="A19" s="3" t="s">
        <v>116</v>
      </c>
      <c r="B19" s="4"/>
      <c r="C19" s="5">
        <v>45798</v>
      </c>
      <c r="D19" s="6">
        <v>45798</v>
      </c>
      <c r="E19" s="7" t="s">
        <v>117</v>
      </c>
      <c r="F19" s="3" t="s">
        <v>23</v>
      </c>
      <c r="G19" s="3" t="s">
        <v>24</v>
      </c>
      <c r="H19" s="8" t="s">
        <v>103</v>
      </c>
      <c r="I19" s="8" t="s">
        <v>103</v>
      </c>
      <c r="J19" s="9" t="s">
        <v>118</v>
      </c>
      <c r="K19" s="10" t="s">
        <v>119</v>
      </c>
      <c r="L19" s="11">
        <v>45799</v>
      </c>
      <c r="M19" s="8" t="s">
        <v>68</v>
      </c>
      <c r="N19" s="8"/>
      <c r="O19" s="8" t="s">
        <v>120</v>
      </c>
      <c r="P19" s="8"/>
      <c r="Q19" s="46" t="e">
        <v>#N/A</v>
      </c>
      <c r="R19" s="46" t="e">
        <v>#N/A</v>
      </c>
      <c r="S19" s="46" t="e">
        <v>#N/A</v>
      </c>
      <c r="T19" s="46" t="e">
        <v>#N/A</v>
      </c>
      <c r="U19" s="46" t="e">
        <v>#N/A</v>
      </c>
    </row>
    <row r="20" spans="1:21">
      <c r="A20" s="3" t="s">
        <v>121</v>
      </c>
      <c r="B20" s="4"/>
      <c r="C20" s="5">
        <v>45798</v>
      </c>
      <c r="D20" s="6">
        <v>45798</v>
      </c>
      <c r="E20" s="7" t="s">
        <v>122</v>
      </c>
      <c r="F20" s="3" t="s">
        <v>32</v>
      </c>
      <c r="G20" s="3" t="s">
        <v>24</v>
      </c>
      <c r="H20" s="8" t="s">
        <v>103</v>
      </c>
      <c r="I20" s="8" t="s">
        <v>103</v>
      </c>
      <c r="J20" s="9" t="s">
        <v>123</v>
      </c>
      <c r="K20" s="10" t="s">
        <v>124</v>
      </c>
      <c r="L20" s="11">
        <v>45799</v>
      </c>
      <c r="M20" s="8" t="s">
        <v>68</v>
      </c>
      <c r="N20" s="8"/>
      <c r="O20" s="8" t="s">
        <v>120</v>
      </c>
      <c r="P20" s="8"/>
      <c r="Q20" s="46" t="e">
        <v>#N/A</v>
      </c>
      <c r="R20" s="46" t="e">
        <v>#N/A</v>
      </c>
      <c r="S20" s="46" t="e">
        <v>#N/A</v>
      </c>
      <c r="T20" s="46" t="e">
        <v>#N/A</v>
      </c>
      <c r="U20" s="46" t="e">
        <v>#N/A</v>
      </c>
    </row>
    <row r="21" spans="1:21">
      <c r="A21" s="3" t="s">
        <v>125</v>
      </c>
      <c r="B21" s="4"/>
      <c r="C21" s="5">
        <v>45798</v>
      </c>
      <c r="D21" s="6">
        <v>45798</v>
      </c>
      <c r="E21" s="7" t="s">
        <v>126</v>
      </c>
      <c r="F21" s="3" t="s">
        <v>32</v>
      </c>
      <c r="G21" s="3" t="s">
        <v>24</v>
      </c>
      <c r="H21" s="8" t="s">
        <v>103</v>
      </c>
      <c r="I21" s="8" t="s">
        <v>103</v>
      </c>
      <c r="J21" s="9" t="s">
        <v>127</v>
      </c>
      <c r="K21" s="10" t="s">
        <v>128</v>
      </c>
      <c r="L21" s="11">
        <v>45799</v>
      </c>
      <c r="M21" s="8" t="s">
        <v>68</v>
      </c>
      <c r="N21" s="8"/>
      <c r="O21" s="8" t="s">
        <v>129</v>
      </c>
      <c r="P21" s="8"/>
      <c r="Q21" s="46" t="e">
        <v>#N/A</v>
      </c>
      <c r="R21" s="46" t="e">
        <v>#N/A</v>
      </c>
      <c r="S21" s="46" t="e">
        <v>#N/A</v>
      </c>
      <c r="T21" s="46" t="e">
        <v>#N/A</v>
      </c>
      <c r="U21" s="46" t="e">
        <v>#N/A</v>
      </c>
    </row>
    <row r="22" spans="1:21">
      <c r="A22" s="3" t="s">
        <v>130</v>
      </c>
      <c r="B22" s="4"/>
      <c r="C22" s="5">
        <v>45798</v>
      </c>
      <c r="D22" s="6">
        <v>45798</v>
      </c>
      <c r="E22" s="7" t="s">
        <v>131</v>
      </c>
      <c r="F22" s="3" t="s">
        <v>23</v>
      </c>
      <c r="G22" s="3" t="s">
        <v>24</v>
      </c>
      <c r="H22" s="8" t="s">
        <v>25</v>
      </c>
      <c r="I22" s="8" t="s">
        <v>25</v>
      </c>
      <c r="J22" s="9" t="s">
        <v>132</v>
      </c>
      <c r="K22" s="10" t="s">
        <v>133</v>
      </c>
      <c r="L22" s="11">
        <v>45799</v>
      </c>
      <c r="M22" s="8" t="s">
        <v>68</v>
      </c>
      <c r="N22" s="8"/>
      <c r="O22" s="8" t="s">
        <v>43</v>
      </c>
      <c r="P22" s="8"/>
      <c r="Q22" s="46" t="e">
        <v>#N/A</v>
      </c>
      <c r="R22" s="46" t="e">
        <v>#N/A</v>
      </c>
      <c r="S22" s="46" t="e">
        <v>#N/A</v>
      </c>
      <c r="T22" s="46" t="e">
        <v>#N/A</v>
      </c>
      <c r="U22" s="46" t="e">
        <v>#N/A</v>
      </c>
    </row>
    <row r="23" spans="1:21">
      <c r="A23" s="3" t="s">
        <v>134</v>
      </c>
      <c r="B23" s="4"/>
      <c r="C23" s="5">
        <v>45799</v>
      </c>
      <c r="D23" s="6">
        <v>45799</v>
      </c>
      <c r="E23" s="7" t="s">
        <v>135</v>
      </c>
      <c r="F23" s="3" t="s">
        <v>32</v>
      </c>
      <c r="G23" s="3" t="s">
        <v>24</v>
      </c>
      <c r="H23" s="8" t="s">
        <v>103</v>
      </c>
      <c r="I23" s="8" t="s">
        <v>103</v>
      </c>
      <c r="J23" s="9" t="s">
        <v>136</v>
      </c>
      <c r="K23" s="10" t="s">
        <v>137</v>
      </c>
      <c r="L23" s="11">
        <v>45804</v>
      </c>
      <c r="M23" s="8" t="s">
        <v>68</v>
      </c>
      <c r="N23" s="8"/>
      <c r="O23" s="8" t="s">
        <v>138</v>
      </c>
      <c r="P23" s="8"/>
      <c r="Q23" s="46" t="e">
        <v>#N/A</v>
      </c>
      <c r="R23" s="46" t="e">
        <v>#N/A</v>
      </c>
      <c r="S23" s="46" t="e">
        <v>#N/A</v>
      </c>
      <c r="T23" s="46" t="e">
        <v>#N/A</v>
      </c>
      <c r="U23" s="46" t="e">
        <v>#N/A</v>
      </c>
    </row>
    <row r="24" spans="1:21">
      <c r="A24" s="3" t="s">
        <v>139</v>
      </c>
      <c r="B24" s="4"/>
      <c r="C24" s="5">
        <v>45799</v>
      </c>
      <c r="D24" s="6">
        <v>45799</v>
      </c>
      <c r="E24" s="7" t="s">
        <v>140</v>
      </c>
      <c r="F24" s="3" t="s">
        <v>32</v>
      </c>
      <c r="G24" s="3" t="s">
        <v>24</v>
      </c>
      <c r="H24" s="8" t="s">
        <v>25</v>
      </c>
      <c r="I24" s="8" t="s">
        <v>25</v>
      </c>
      <c r="J24" s="9" t="s">
        <v>141</v>
      </c>
      <c r="K24" s="16" t="s">
        <v>142</v>
      </c>
      <c r="L24" s="11">
        <v>45833.5</v>
      </c>
      <c r="M24" s="8" t="s">
        <v>28</v>
      </c>
      <c r="N24" s="8" t="s">
        <v>143</v>
      </c>
      <c r="O24" s="8" t="s">
        <v>29</v>
      </c>
      <c r="P24" s="8"/>
      <c r="Q24" s="46" t="e">
        <v>#N/A</v>
      </c>
      <c r="R24" s="46" t="e">
        <v>#N/A</v>
      </c>
      <c r="S24" s="46" t="e">
        <v>#N/A</v>
      </c>
      <c r="T24" s="46" t="e">
        <v>#N/A</v>
      </c>
      <c r="U24" s="46" t="e">
        <v>#N/A</v>
      </c>
    </row>
    <row r="25" spans="1:21">
      <c r="A25" s="3" t="s">
        <v>144</v>
      </c>
      <c r="B25" s="4"/>
      <c r="C25" s="5">
        <v>45799</v>
      </c>
      <c r="D25" s="6">
        <v>45799</v>
      </c>
      <c r="E25" s="7" t="s">
        <v>145</v>
      </c>
      <c r="F25" s="3" t="s">
        <v>23</v>
      </c>
      <c r="G25" s="3" t="s">
        <v>24</v>
      </c>
      <c r="H25" s="8" t="s">
        <v>55</v>
      </c>
      <c r="I25" s="8" t="s">
        <v>55</v>
      </c>
      <c r="J25" s="9" t="s">
        <v>146</v>
      </c>
      <c r="K25" s="10" t="s">
        <v>147</v>
      </c>
      <c r="L25" s="11">
        <v>45800</v>
      </c>
      <c r="M25" s="8" t="s">
        <v>68</v>
      </c>
      <c r="N25" s="8"/>
      <c r="O25" s="8" t="s">
        <v>148</v>
      </c>
      <c r="P25" s="8"/>
      <c r="Q25" s="46" t="e">
        <v>#N/A</v>
      </c>
      <c r="R25" s="46" t="e">
        <v>#N/A</v>
      </c>
      <c r="S25" s="46" t="e">
        <v>#N/A</v>
      </c>
      <c r="T25" s="46" t="e">
        <v>#N/A</v>
      </c>
      <c r="U25" s="46" t="e">
        <v>#N/A</v>
      </c>
    </row>
    <row r="26" spans="1:21">
      <c r="A26" s="3" t="s">
        <v>149</v>
      </c>
      <c r="B26" s="4"/>
      <c r="C26" s="5">
        <v>45800</v>
      </c>
      <c r="D26" s="6">
        <v>45800</v>
      </c>
      <c r="E26" s="17" t="s">
        <v>150</v>
      </c>
      <c r="F26" s="3" t="s">
        <v>32</v>
      </c>
      <c r="G26" s="3" t="s">
        <v>24</v>
      </c>
      <c r="H26" s="8" t="s">
        <v>55</v>
      </c>
      <c r="I26" s="8" t="s">
        <v>55</v>
      </c>
      <c r="J26" s="18" t="s">
        <v>151</v>
      </c>
      <c r="K26" s="10" t="s">
        <v>152</v>
      </c>
      <c r="L26" s="11">
        <v>45805</v>
      </c>
      <c r="M26" s="8" t="s">
        <v>68</v>
      </c>
      <c r="N26" s="8"/>
      <c r="O26" s="8" t="s">
        <v>148</v>
      </c>
      <c r="P26" s="8"/>
      <c r="Q26" s="46" t="e">
        <v>#N/A</v>
      </c>
      <c r="R26" s="46" t="e">
        <v>#N/A</v>
      </c>
      <c r="S26" s="46" t="e">
        <v>#N/A</v>
      </c>
      <c r="T26" s="46" t="e">
        <v>#N/A</v>
      </c>
      <c r="U26" s="46" t="e">
        <v>#N/A</v>
      </c>
    </row>
    <row r="27" spans="1:21">
      <c r="A27" s="3" t="s">
        <v>153</v>
      </c>
      <c r="B27" s="4"/>
      <c r="C27" s="5">
        <v>45800</v>
      </c>
      <c r="D27" s="6">
        <v>45800</v>
      </c>
      <c r="E27" s="7" t="s">
        <v>154</v>
      </c>
      <c r="F27" s="3" t="s">
        <v>23</v>
      </c>
      <c r="G27" s="3" t="s">
        <v>24</v>
      </c>
      <c r="H27" s="8" t="s">
        <v>25</v>
      </c>
      <c r="I27" s="8" t="s">
        <v>25</v>
      </c>
      <c r="J27" s="9" t="s">
        <v>155</v>
      </c>
      <c r="K27" s="10" t="s">
        <v>156</v>
      </c>
      <c r="L27" s="11">
        <v>45810</v>
      </c>
      <c r="M27" s="8" t="s">
        <v>28</v>
      </c>
      <c r="N27" s="8"/>
      <c r="O27" s="8" t="s">
        <v>157</v>
      </c>
      <c r="P27" s="8"/>
      <c r="Q27" s="46" t="e">
        <v>#N/A</v>
      </c>
      <c r="R27" s="46" t="e">
        <v>#N/A</v>
      </c>
      <c r="S27" s="46" t="e">
        <v>#N/A</v>
      </c>
      <c r="T27" s="46" t="e">
        <v>#N/A</v>
      </c>
      <c r="U27" s="46" t="e">
        <v>#N/A</v>
      </c>
    </row>
    <row r="28" spans="1:21">
      <c r="A28" s="3" t="s">
        <v>158</v>
      </c>
      <c r="B28" s="4"/>
      <c r="C28" s="5">
        <v>45801</v>
      </c>
      <c r="D28" s="6">
        <v>45801</v>
      </c>
      <c r="E28" s="7" t="s">
        <v>159</v>
      </c>
      <c r="F28" s="3" t="s">
        <v>23</v>
      </c>
      <c r="G28" s="3" t="s">
        <v>24</v>
      </c>
      <c r="H28" s="8" t="s">
        <v>25</v>
      </c>
      <c r="I28" s="8" t="s">
        <v>25</v>
      </c>
      <c r="J28" s="9" t="s">
        <v>160</v>
      </c>
      <c r="K28" s="10" t="s">
        <v>161</v>
      </c>
      <c r="L28" s="11">
        <v>45801</v>
      </c>
      <c r="M28" s="8" t="s">
        <v>162</v>
      </c>
      <c r="N28" s="8"/>
      <c r="O28" s="8" t="s">
        <v>29</v>
      </c>
      <c r="P28" s="8"/>
      <c r="Q28" s="46" t="e">
        <v>#N/A</v>
      </c>
      <c r="R28" s="46" t="e">
        <v>#N/A</v>
      </c>
      <c r="S28" s="46" t="e">
        <v>#N/A</v>
      </c>
      <c r="T28" s="46" t="e">
        <v>#N/A</v>
      </c>
      <c r="U28" s="46" t="e">
        <v>#N/A</v>
      </c>
    </row>
    <row r="29" spans="1:21">
      <c r="A29" s="3" t="s">
        <v>163</v>
      </c>
      <c r="B29" s="4"/>
      <c r="C29" s="5">
        <v>45801</v>
      </c>
      <c r="D29" s="6">
        <v>45801</v>
      </c>
      <c r="E29" s="7" t="s">
        <v>164</v>
      </c>
      <c r="F29" s="3" t="s">
        <v>23</v>
      </c>
      <c r="G29" s="3" t="s">
        <v>24</v>
      </c>
      <c r="H29" s="8" t="s">
        <v>25</v>
      </c>
      <c r="I29" s="8" t="s">
        <v>25</v>
      </c>
      <c r="J29" s="9" t="s">
        <v>165</v>
      </c>
      <c r="K29" s="19" t="s">
        <v>166</v>
      </c>
      <c r="L29" s="11">
        <v>45801</v>
      </c>
      <c r="M29" s="8" t="s">
        <v>68</v>
      </c>
      <c r="N29" s="8"/>
      <c r="O29" s="8" t="s">
        <v>29</v>
      </c>
      <c r="P29" s="8"/>
      <c r="Q29" s="46" t="e">
        <v>#N/A</v>
      </c>
      <c r="R29" s="46" t="e">
        <v>#N/A</v>
      </c>
      <c r="S29" s="46" t="e">
        <v>#N/A</v>
      </c>
      <c r="T29" s="46" t="e">
        <v>#N/A</v>
      </c>
      <c r="U29" s="46" t="e">
        <v>#N/A</v>
      </c>
    </row>
    <row r="30" spans="1:21">
      <c r="A30" s="3" t="s">
        <v>167</v>
      </c>
      <c r="B30" s="4"/>
      <c r="C30" s="5">
        <v>45801</v>
      </c>
      <c r="D30" s="6">
        <v>45801</v>
      </c>
      <c r="E30" s="7" t="s">
        <v>168</v>
      </c>
      <c r="F30" s="3" t="s">
        <v>32</v>
      </c>
      <c r="G30" s="3" t="s">
        <v>24</v>
      </c>
      <c r="H30" s="8" t="s">
        <v>25</v>
      </c>
      <c r="I30" s="8" t="s">
        <v>25</v>
      </c>
      <c r="J30" s="20" t="s">
        <v>169</v>
      </c>
      <c r="K30" s="10" t="s">
        <v>170</v>
      </c>
      <c r="L30" s="11">
        <v>45801</v>
      </c>
      <c r="M30" s="8" t="s">
        <v>162</v>
      </c>
      <c r="N30" s="8"/>
      <c r="O30" s="8" t="s">
        <v>29</v>
      </c>
      <c r="P30" s="8"/>
      <c r="Q30" s="46" t="e">
        <v>#N/A</v>
      </c>
      <c r="R30" s="46" t="e">
        <v>#N/A</v>
      </c>
      <c r="S30" s="46" t="e">
        <v>#N/A</v>
      </c>
      <c r="T30" s="46" t="e">
        <v>#N/A</v>
      </c>
      <c r="U30" s="46" t="e">
        <v>#N/A</v>
      </c>
    </row>
    <row r="31" spans="1:21">
      <c r="A31" s="3" t="s">
        <v>171</v>
      </c>
      <c r="B31" s="4"/>
      <c r="C31" s="5">
        <v>45802</v>
      </c>
      <c r="D31" s="6">
        <v>45802</v>
      </c>
      <c r="E31" s="15" t="s">
        <v>172</v>
      </c>
      <c r="F31" s="3" t="s">
        <v>32</v>
      </c>
      <c r="G31" s="3" t="s">
        <v>24</v>
      </c>
      <c r="H31" s="8" t="s">
        <v>25</v>
      </c>
      <c r="I31" s="8" t="s">
        <v>25</v>
      </c>
      <c r="J31" s="20" t="s">
        <v>173</v>
      </c>
      <c r="K31" s="19" t="s">
        <v>174</v>
      </c>
      <c r="L31" s="11">
        <v>45802</v>
      </c>
      <c r="M31" s="8" t="s">
        <v>162</v>
      </c>
      <c r="N31" s="8"/>
      <c r="O31" s="8" t="s">
        <v>29</v>
      </c>
      <c r="P31" s="8"/>
      <c r="Q31" s="46" t="e">
        <v>#N/A</v>
      </c>
      <c r="R31" s="46" t="e">
        <v>#N/A</v>
      </c>
      <c r="S31" s="46" t="e">
        <v>#N/A</v>
      </c>
      <c r="T31" s="46" t="e">
        <v>#N/A</v>
      </c>
      <c r="U31" s="46" t="e">
        <v>#N/A</v>
      </c>
    </row>
    <row r="32" spans="1:21">
      <c r="A32" s="3" t="s">
        <v>175</v>
      </c>
      <c r="B32" s="4"/>
      <c r="C32" s="5">
        <v>45804</v>
      </c>
      <c r="D32" s="6">
        <v>45804</v>
      </c>
      <c r="E32" s="15" t="s">
        <v>176</v>
      </c>
      <c r="F32" s="3" t="s">
        <v>32</v>
      </c>
      <c r="G32" s="3" t="s">
        <v>24</v>
      </c>
      <c r="H32" s="8" t="s">
        <v>25</v>
      </c>
      <c r="I32" s="8" t="s">
        <v>25</v>
      </c>
      <c r="J32" s="20" t="s">
        <v>177</v>
      </c>
      <c r="K32" s="19" t="s">
        <v>178</v>
      </c>
      <c r="L32" s="11">
        <v>45811</v>
      </c>
      <c r="M32" s="8" t="s">
        <v>162</v>
      </c>
      <c r="N32" s="8"/>
      <c r="O32" s="8" t="s">
        <v>29</v>
      </c>
      <c r="P32" s="8"/>
      <c r="Q32" s="46" t="e">
        <v>#N/A</v>
      </c>
      <c r="R32" s="46" t="e">
        <v>#N/A</v>
      </c>
      <c r="S32" s="46" t="e">
        <v>#N/A</v>
      </c>
      <c r="T32" s="46" t="e">
        <v>#N/A</v>
      </c>
      <c r="U32" s="46" t="e">
        <v>#N/A</v>
      </c>
    </row>
    <row r="33" spans="1:21">
      <c r="A33" s="3" t="s">
        <v>179</v>
      </c>
      <c r="B33" s="4"/>
      <c r="C33" s="21">
        <v>45805</v>
      </c>
      <c r="D33" s="22">
        <v>45805</v>
      </c>
      <c r="E33" s="8" t="s">
        <v>180</v>
      </c>
      <c r="F33" s="3" t="s">
        <v>23</v>
      </c>
      <c r="G33" s="3" t="s">
        <v>24</v>
      </c>
      <c r="H33" s="8" t="s">
        <v>25</v>
      </c>
      <c r="I33" s="8" t="s">
        <v>25</v>
      </c>
      <c r="J33" s="1" t="s">
        <v>181</v>
      </c>
      <c r="K33" s="23" t="s">
        <v>182</v>
      </c>
      <c r="L33" s="11">
        <v>45805</v>
      </c>
      <c r="M33" s="8" t="s">
        <v>183</v>
      </c>
      <c r="N33" s="8"/>
      <c r="O33" s="8" t="s">
        <v>29</v>
      </c>
      <c r="P33" s="8"/>
      <c r="Q33" s="46" t="e">
        <v>#N/A</v>
      </c>
      <c r="R33" s="46" t="e">
        <v>#N/A</v>
      </c>
      <c r="S33" s="46" t="e">
        <v>#N/A</v>
      </c>
      <c r="T33" s="46" t="e">
        <v>#N/A</v>
      </c>
      <c r="U33" s="46" t="e">
        <v>#N/A</v>
      </c>
    </row>
    <row r="34" spans="1:21">
      <c r="A34" s="3" t="s">
        <v>184</v>
      </c>
      <c r="B34" s="4"/>
      <c r="C34" s="21">
        <v>45805</v>
      </c>
      <c r="D34" s="22">
        <v>45805</v>
      </c>
      <c r="E34" s="8" t="s">
        <v>185</v>
      </c>
      <c r="F34" s="3" t="s">
        <v>32</v>
      </c>
      <c r="G34" s="3" t="s">
        <v>24</v>
      </c>
      <c r="H34" s="8" t="s">
        <v>103</v>
      </c>
      <c r="I34" s="8" t="s">
        <v>103</v>
      </c>
      <c r="J34" s="1" t="s">
        <v>186</v>
      </c>
      <c r="K34" s="23" t="s">
        <v>187</v>
      </c>
      <c r="L34" s="11">
        <v>45805</v>
      </c>
      <c r="M34" s="8" t="s">
        <v>68</v>
      </c>
      <c r="N34" s="8"/>
      <c r="O34" s="8" t="s">
        <v>129</v>
      </c>
      <c r="P34" s="8"/>
      <c r="Q34" s="46" t="e">
        <v>#N/A</v>
      </c>
      <c r="R34" s="46" t="e">
        <v>#N/A</v>
      </c>
      <c r="S34" s="46" t="e">
        <v>#N/A</v>
      </c>
      <c r="T34" s="46" t="e">
        <v>#N/A</v>
      </c>
      <c r="U34" s="46" t="e">
        <v>#N/A</v>
      </c>
    </row>
    <row r="35" spans="1:21">
      <c r="A35" s="3" t="s">
        <v>188</v>
      </c>
      <c r="B35" s="4"/>
      <c r="C35" s="21">
        <v>45805</v>
      </c>
      <c r="D35" s="22">
        <v>45805</v>
      </c>
      <c r="E35" s="8" t="s">
        <v>189</v>
      </c>
      <c r="F35" s="3" t="s">
        <v>32</v>
      </c>
      <c r="G35" s="3" t="s">
        <v>24</v>
      </c>
      <c r="H35" s="8" t="s">
        <v>103</v>
      </c>
      <c r="I35" s="8" t="s">
        <v>103</v>
      </c>
      <c r="J35" s="1" t="s">
        <v>190</v>
      </c>
      <c r="K35" s="23" t="s">
        <v>191</v>
      </c>
      <c r="L35" s="11">
        <v>45805</v>
      </c>
      <c r="M35" s="8" t="s">
        <v>36</v>
      </c>
      <c r="N35" s="8"/>
      <c r="O35" s="8" t="s">
        <v>138</v>
      </c>
      <c r="P35" s="8"/>
      <c r="Q35" s="46" t="e">
        <v>#N/A</v>
      </c>
      <c r="R35" s="46" t="e">
        <v>#N/A</v>
      </c>
      <c r="S35" s="46" t="e">
        <v>#N/A</v>
      </c>
      <c r="T35" s="46" t="e">
        <v>#N/A</v>
      </c>
      <c r="U35" s="46" t="e">
        <v>#N/A</v>
      </c>
    </row>
    <row r="36" spans="1:21">
      <c r="A36" s="3" t="s">
        <v>192</v>
      </c>
      <c r="B36" s="4"/>
      <c r="C36" s="21">
        <v>45805</v>
      </c>
      <c r="D36" s="22">
        <v>45805</v>
      </c>
      <c r="E36" s="8" t="s">
        <v>193</v>
      </c>
      <c r="F36" s="3" t="s">
        <v>23</v>
      </c>
      <c r="G36" s="3" t="s">
        <v>24</v>
      </c>
      <c r="H36" s="8" t="s">
        <v>25</v>
      </c>
      <c r="I36" s="8" t="s">
        <v>25</v>
      </c>
      <c r="J36" s="1" t="s">
        <v>194</v>
      </c>
      <c r="K36" s="23" t="s">
        <v>195</v>
      </c>
      <c r="L36" s="11">
        <v>45805</v>
      </c>
      <c r="M36" s="8" t="s">
        <v>68</v>
      </c>
      <c r="N36" s="8"/>
      <c r="O36" s="8" t="s">
        <v>29</v>
      </c>
      <c r="P36" s="8"/>
      <c r="Q36" s="46" t="e">
        <v>#N/A</v>
      </c>
      <c r="R36" s="46" t="e">
        <v>#N/A</v>
      </c>
      <c r="S36" s="46" t="e">
        <v>#N/A</v>
      </c>
      <c r="T36" s="46" t="e">
        <v>#N/A</v>
      </c>
      <c r="U36" s="46" t="e">
        <v>#N/A</v>
      </c>
    </row>
    <row r="37" spans="1:21">
      <c r="A37" s="3" t="s">
        <v>196</v>
      </c>
      <c r="B37" s="4"/>
      <c r="C37" s="21">
        <v>45805</v>
      </c>
      <c r="D37" s="22">
        <v>45805</v>
      </c>
      <c r="E37" s="15" t="s">
        <v>197</v>
      </c>
      <c r="F37" s="3" t="s">
        <v>32</v>
      </c>
      <c r="G37" s="3" t="s">
        <v>24</v>
      </c>
      <c r="H37" s="8" t="s">
        <v>198</v>
      </c>
      <c r="I37" s="8" t="s">
        <v>198</v>
      </c>
      <c r="J37" s="20" t="s">
        <v>199</v>
      </c>
      <c r="K37" s="19" t="s">
        <v>200</v>
      </c>
      <c r="L37" s="11">
        <v>45806</v>
      </c>
      <c r="M37" s="8" t="s">
        <v>201</v>
      </c>
      <c r="N37" s="8"/>
      <c r="O37" s="8" t="s">
        <v>202</v>
      </c>
      <c r="P37" s="8"/>
      <c r="Q37" s="46" t="e">
        <v>#N/A</v>
      </c>
      <c r="R37" s="46" t="e">
        <v>#N/A</v>
      </c>
      <c r="S37" s="46" t="e">
        <v>#N/A</v>
      </c>
      <c r="T37" s="46" t="e">
        <v>#N/A</v>
      </c>
      <c r="U37" s="46" t="e">
        <v>#N/A</v>
      </c>
    </row>
    <row r="38" spans="1:21">
      <c r="A38" s="3" t="s">
        <v>203</v>
      </c>
      <c r="B38" s="4"/>
      <c r="C38" s="21">
        <v>45806</v>
      </c>
      <c r="D38" s="22">
        <v>45806</v>
      </c>
      <c r="E38" s="8" t="s">
        <v>204</v>
      </c>
      <c r="F38" s="3" t="s">
        <v>32</v>
      </c>
      <c r="G38" s="3" t="s">
        <v>24</v>
      </c>
      <c r="H38" s="8" t="s">
        <v>103</v>
      </c>
      <c r="I38" s="8" t="s">
        <v>103</v>
      </c>
      <c r="J38" s="20" t="s">
        <v>205</v>
      </c>
      <c r="K38" s="23" t="s">
        <v>206</v>
      </c>
      <c r="L38" s="11">
        <v>45810</v>
      </c>
      <c r="M38" s="8" t="s">
        <v>28</v>
      </c>
      <c r="N38" s="8"/>
      <c r="O38" s="8" t="s">
        <v>207</v>
      </c>
      <c r="P38" s="8"/>
      <c r="Q38" s="46" t="e">
        <v>#N/A</v>
      </c>
      <c r="R38" s="46" t="e">
        <v>#N/A</v>
      </c>
      <c r="S38" s="46" t="e">
        <v>#N/A</v>
      </c>
      <c r="T38" s="46" t="e">
        <v>#N/A</v>
      </c>
      <c r="U38" s="46" t="e">
        <v>#N/A</v>
      </c>
    </row>
    <row r="39" spans="1:21">
      <c r="A39" s="3" t="s">
        <v>208</v>
      </c>
      <c r="B39" s="4"/>
      <c r="C39" s="21">
        <v>45810</v>
      </c>
      <c r="D39" s="22">
        <v>45810</v>
      </c>
      <c r="E39" s="8" t="s">
        <v>209</v>
      </c>
      <c r="F39" s="3" t="s">
        <v>32</v>
      </c>
      <c r="G39" s="3" t="s">
        <v>24</v>
      </c>
      <c r="H39" s="8" t="s">
        <v>25</v>
      </c>
      <c r="I39" s="8" t="s">
        <v>25</v>
      </c>
      <c r="J39" s="1" t="s">
        <v>210</v>
      </c>
      <c r="K39" s="23" t="s">
        <v>211</v>
      </c>
      <c r="L39" s="11">
        <v>45877.458333333336</v>
      </c>
      <c r="M39" s="8" t="s">
        <v>28</v>
      </c>
      <c r="N39" s="8" t="s">
        <v>212</v>
      </c>
      <c r="O39" s="8" t="s">
        <v>29</v>
      </c>
      <c r="P39" s="8" t="s">
        <v>213</v>
      </c>
      <c r="Q39" s="46" t="e">
        <v>#N/A</v>
      </c>
      <c r="R39" s="46" t="e">
        <v>#N/A</v>
      </c>
      <c r="S39" s="46" t="e">
        <v>#N/A</v>
      </c>
      <c r="T39" s="46" t="e">
        <v>#N/A</v>
      </c>
      <c r="U39" s="46" t="e">
        <v>#N/A</v>
      </c>
    </row>
    <row r="40" spans="1:21">
      <c r="A40" s="3" t="s">
        <v>214</v>
      </c>
      <c r="B40" s="4"/>
      <c r="C40" s="21">
        <v>45810</v>
      </c>
      <c r="D40" s="22">
        <v>45810</v>
      </c>
      <c r="E40" s="24" t="s">
        <v>215</v>
      </c>
      <c r="F40" s="3" t="s">
        <v>32</v>
      </c>
      <c r="G40" s="3" t="s">
        <v>24</v>
      </c>
      <c r="H40" s="8" t="s">
        <v>103</v>
      </c>
      <c r="I40" s="8" t="s">
        <v>103</v>
      </c>
      <c r="J40" s="1" t="s">
        <v>216</v>
      </c>
      <c r="K40" s="23" t="s">
        <v>217</v>
      </c>
      <c r="L40" s="11">
        <v>45810</v>
      </c>
      <c r="M40" s="8" t="s">
        <v>36</v>
      </c>
      <c r="N40" s="8"/>
      <c r="O40" s="8" t="s">
        <v>218</v>
      </c>
      <c r="P40" s="8" t="s">
        <v>219</v>
      </c>
      <c r="Q40" s="46" t="e">
        <v>#N/A</v>
      </c>
      <c r="R40" s="46" t="e">
        <v>#N/A</v>
      </c>
      <c r="S40" s="46" t="e">
        <v>#N/A</v>
      </c>
      <c r="T40" s="46" t="e">
        <v>#N/A</v>
      </c>
      <c r="U40" s="46" t="e">
        <v>#N/A</v>
      </c>
    </row>
    <row r="41" spans="1:21">
      <c r="A41" s="3" t="s">
        <v>220</v>
      </c>
      <c r="B41" s="4"/>
      <c r="C41" s="21">
        <v>45810</v>
      </c>
      <c r="D41" s="22">
        <v>45810</v>
      </c>
      <c r="E41" s="8" t="s">
        <v>221</v>
      </c>
      <c r="F41" s="3" t="s">
        <v>32</v>
      </c>
      <c r="G41" s="3" t="s">
        <v>24</v>
      </c>
      <c r="H41" s="8" t="s">
        <v>25</v>
      </c>
      <c r="I41" s="8" t="s">
        <v>25</v>
      </c>
      <c r="J41" s="1" t="s">
        <v>222</v>
      </c>
      <c r="K41" s="23" t="s">
        <v>223</v>
      </c>
      <c r="L41" s="11">
        <v>45810</v>
      </c>
      <c r="M41" s="8" t="s">
        <v>28</v>
      </c>
      <c r="N41" s="8"/>
      <c r="O41" s="8" t="s">
        <v>224</v>
      </c>
      <c r="P41" s="8" t="s">
        <v>219</v>
      </c>
      <c r="Q41" s="46" t="e">
        <v>#N/A</v>
      </c>
      <c r="R41" s="46" t="e">
        <v>#N/A</v>
      </c>
      <c r="S41" s="46" t="e">
        <v>#N/A</v>
      </c>
      <c r="T41" s="46" t="e">
        <v>#N/A</v>
      </c>
      <c r="U41" s="46" t="e">
        <v>#N/A</v>
      </c>
    </row>
    <row r="42" spans="1:21">
      <c r="A42" s="3" t="s">
        <v>225</v>
      </c>
      <c r="B42" s="4"/>
      <c r="C42" s="21">
        <v>45810</v>
      </c>
      <c r="D42" s="22">
        <v>45810</v>
      </c>
      <c r="E42" s="8" t="s">
        <v>226</v>
      </c>
      <c r="F42" s="3" t="s">
        <v>23</v>
      </c>
      <c r="G42" s="3" t="s">
        <v>24</v>
      </c>
      <c r="H42" s="8" t="s">
        <v>25</v>
      </c>
      <c r="I42" s="8" t="s">
        <v>25</v>
      </c>
      <c r="J42" s="1" t="s">
        <v>227</v>
      </c>
      <c r="K42" s="23" t="s">
        <v>228</v>
      </c>
      <c r="L42" s="11">
        <v>45811</v>
      </c>
      <c r="M42" s="8" t="s">
        <v>229</v>
      </c>
      <c r="N42" s="8"/>
      <c r="O42" s="8" t="s">
        <v>43</v>
      </c>
      <c r="P42" s="8" t="s">
        <v>219</v>
      </c>
      <c r="Q42" s="46" t="e">
        <v>#N/A</v>
      </c>
      <c r="R42" s="46" t="e">
        <v>#N/A</v>
      </c>
      <c r="S42" s="46" t="e">
        <v>#N/A</v>
      </c>
      <c r="T42" s="46" t="e">
        <v>#N/A</v>
      </c>
      <c r="U42" s="46" t="e">
        <v>#N/A</v>
      </c>
    </row>
    <row r="43" spans="1:21">
      <c r="A43" s="3" t="s">
        <v>230</v>
      </c>
      <c r="B43" s="4"/>
      <c r="C43" s="21">
        <v>45810</v>
      </c>
      <c r="D43" s="22">
        <v>45810</v>
      </c>
      <c r="E43" s="8" t="s">
        <v>231</v>
      </c>
      <c r="F43" s="3" t="s">
        <v>32</v>
      </c>
      <c r="G43" s="3" t="s">
        <v>24</v>
      </c>
      <c r="H43" s="8" t="s">
        <v>25</v>
      </c>
      <c r="I43" s="8" t="s">
        <v>25</v>
      </c>
      <c r="J43" s="1" t="s">
        <v>232</v>
      </c>
      <c r="K43" s="23" t="s">
        <v>233</v>
      </c>
      <c r="L43" s="11">
        <v>45810</v>
      </c>
      <c r="M43" s="8" t="s">
        <v>28</v>
      </c>
      <c r="N43" s="8"/>
      <c r="O43" s="8" t="s">
        <v>59</v>
      </c>
      <c r="P43" s="8" t="s">
        <v>219</v>
      </c>
      <c r="Q43" s="46" t="e">
        <v>#N/A</v>
      </c>
      <c r="R43" s="46" t="e">
        <v>#N/A</v>
      </c>
      <c r="S43" s="46" t="e">
        <v>#N/A</v>
      </c>
      <c r="T43" s="46" t="e">
        <v>#N/A</v>
      </c>
      <c r="U43" s="46" t="e">
        <v>#N/A</v>
      </c>
    </row>
    <row r="44" spans="1:21">
      <c r="A44" s="3" t="s">
        <v>234</v>
      </c>
      <c r="B44" s="4"/>
      <c r="C44" s="21">
        <v>45811</v>
      </c>
      <c r="D44" s="22">
        <v>45811</v>
      </c>
      <c r="E44" s="8" t="s">
        <v>235</v>
      </c>
      <c r="F44" s="3" t="s">
        <v>23</v>
      </c>
      <c r="G44" s="3" t="s">
        <v>24</v>
      </c>
      <c r="H44" s="8" t="s">
        <v>103</v>
      </c>
      <c r="I44" s="8" t="s">
        <v>103</v>
      </c>
      <c r="J44" s="1" t="s">
        <v>236</v>
      </c>
      <c r="K44" s="23" t="s">
        <v>237</v>
      </c>
      <c r="L44" s="11">
        <v>45812</v>
      </c>
      <c r="M44" s="8" t="s">
        <v>238</v>
      </c>
      <c r="N44" s="8" t="s">
        <v>239</v>
      </c>
      <c r="O44" s="8" t="s">
        <v>240</v>
      </c>
      <c r="P44" s="8" t="s">
        <v>219</v>
      </c>
      <c r="Q44" s="46" t="e">
        <v>#N/A</v>
      </c>
      <c r="R44" s="46" t="e">
        <v>#N/A</v>
      </c>
      <c r="S44" s="46" t="e">
        <v>#N/A</v>
      </c>
      <c r="T44" s="46" t="e">
        <v>#N/A</v>
      </c>
      <c r="U44" s="46" t="e">
        <v>#N/A</v>
      </c>
    </row>
    <row r="45" spans="1:21">
      <c r="A45" s="3" t="s">
        <v>241</v>
      </c>
      <c r="B45" s="4"/>
      <c r="C45" s="21">
        <v>45811</v>
      </c>
      <c r="D45" s="22">
        <v>45811</v>
      </c>
      <c r="E45" s="8" t="s">
        <v>242</v>
      </c>
      <c r="F45" s="3" t="s">
        <v>32</v>
      </c>
      <c r="G45" s="3" t="s">
        <v>24</v>
      </c>
      <c r="H45" s="8" t="s">
        <v>25</v>
      </c>
      <c r="I45" s="8" t="s">
        <v>25</v>
      </c>
      <c r="J45" s="9" t="s">
        <v>243</v>
      </c>
      <c r="K45" s="23" t="s">
        <v>244</v>
      </c>
      <c r="L45" s="11">
        <v>45820</v>
      </c>
      <c r="M45" s="8" t="s">
        <v>28</v>
      </c>
      <c r="N45" s="8"/>
      <c r="O45" s="8" t="s">
        <v>59</v>
      </c>
      <c r="P45" s="8" t="s">
        <v>219</v>
      </c>
      <c r="Q45" s="46" t="e">
        <v>#N/A</v>
      </c>
      <c r="R45" s="46" t="e">
        <v>#N/A</v>
      </c>
      <c r="S45" s="46" t="e">
        <v>#N/A</v>
      </c>
      <c r="T45" s="46" t="e">
        <v>#N/A</v>
      </c>
      <c r="U45" s="46" t="e">
        <v>#N/A</v>
      </c>
    </row>
    <row r="46" spans="1:21">
      <c r="A46" s="3" t="s">
        <v>245</v>
      </c>
      <c r="B46" s="4"/>
      <c r="C46" s="21">
        <v>45812</v>
      </c>
      <c r="D46" s="22">
        <v>45812</v>
      </c>
      <c r="E46" s="8" t="s">
        <v>246</v>
      </c>
      <c r="F46" s="3" t="s">
        <v>23</v>
      </c>
      <c r="G46" s="3" t="s">
        <v>24</v>
      </c>
      <c r="H46" s="8" t="s">
        <v>25</v>
      </c>
      <c r="I46" s="8" t="s">
        <v>25</v>
      </c>
      <c r="J46" s="1" t="s">
        <v>247</v>
      </c>
      <c r="K46" s="23" t="s">
        <v>248</v>
      </c>
      <c r="L46" s="11">
        <v>45813</v>
      </c>
      <c r="M46" s="8" t="s">
        <v>28</v>
      </c>
      <c r="N46" s="8"/>
      <c r="O46" s="8" t="s">
        <v>249</v>
      </c>
      <c r="P46" s="8" t="s">
        <v>213</v>
      </c>
      <c r="Q46" s="46" t="e">
        <v>#N/A</v>
      </c>
      <c r="R46" s="46" t="e">
        <v>#N/A</v>
      </c>
      <c r="S46" s="46" t="e">
        <v>#N/A</v>
      </c>
      <c r="T46" s="46" t="e">
        <v>#N/A</v>
      </c>
      <c r="U46" s="46" t="e">
        <v>#N/A</v>
      </c>
    </row>
    <row r="47" spans="1:21">
      <c r="A47" s="3" t="s">
        <v>250</v>
      </c>
      <c r="B47" s="4"/>
      <c r="C47" s="21">
        <v>45812</v>
      </c>
      <c r="D47" s="22">
        <v>45812</v>
      </c>
      <c r="E47" s="8" t="s">
        <v>251</v>
      </c>
      <c r="F47" s="3" t="s">
        <v>32</v>
      </c>
      <c r="G47" s="3" t="s">
        <v>24</v>
      </c>
      <c r="H47" s="8" t="s">
        <v>25</v>
      </c>
      <c r="I47" s="8" t="s">
        <v>25</v>
      </c>
      <c r="J47" s="1" t="s">
        <v>252</v>
      </c>
      <c r="K47" s="23" t="s">
        <v>253</v>
      </c>
      <c r="L47" s="11">
        <v>45813</v>
      </c>
      <c r="M47" s="8" t="s">
        <v>254</v>
      </c>
      <c r="N47" s="8" t="s">
        <v>255</v>
      </c>
      <c r="O47" s="8" t="s">
        <v>256</v>
      </c>
      <c r="P47" s="8" t="s">
        <v>219</v>
      </c>
      <c r="Q47" s="46" t="e">
        <v>#N/A</v>
      </c>
      <c r="R47" s="46" t="e">
        <v>#N/A</v>
      </c>
      <c r="S47" s="46" t="e">
        <v>#N/A</v>
      </c>
      <c r="T47" s="46" t="e">
        <v>#N/A</v>
      </c>
      <c r="U47" s="46" t="e">
        <v>#N/A</v>
      </c>
    </row>
    <row r="48" spans="1:21">
      <c r="A48" s="3" t="s">
        <v>257</v>
      </c>
      <c r="B48" s="4"/>
      <c r="C48" s="21">
        <v>45814</v>
      </c>
      <c r="D48" s="22">
        <v>45814</v>
      </c>
      <c r="E48" s="8" t="s">
        <v>258</v>
      </c>
      <c r="F48" s="3" t="s">
        <v>32</v>
      </c>
      <c r="G48" s="3" t="s">
        <v>24</v>
      </c>
      <c r="H48" s="8" t="s">
        <v>25</v>
      </c>
      <c r="I48" s="8" t="s">
        <v>25</v>
      </c>
      <c r="J48" s="1" t="s">
        <v>259</v>
      </c>
      <c r="K48" s="23" t="s">
        <v>260</v>
      </c>
      <c r="L48" s="11">
        <v>45828.666666666664</v>
      </c>
      <c r="M48" s="8" t="s">
        <v>28</v>
      </c>
      <c r="N48" s="8" t="s">
        <v>261</v>
      </c>
      <c r="O48" s="8" t="s">
        <v>29</v>
      </c>
      <c r="P48" s="8" t="s">
        <v>219</v>
      </c>
      <c r="Q48" s="46" t="e">
        <v>#N/A</v>
      </c>
      <c r="R48" s="46" t="e">
        <v>#N/A</v>
      </c>
      <c r="S48" s="46" t="e">
        <v>#N/A</v>
      </c>
      <c r="T48" s="46" t="e">
        <v>#N/A</v>
      </c>
      <c r="U48" s="46" t="e">
        <v>#N/A</v>
      </c>
    </row>
    <row r="49" spans="1:21">
      <c r="A49" s="3" t="s">
        <v>262</v>
      </c>
      <c r="B49" s="4"/>
      <c r="C49" s="21">
        <v>45814</v>
      </c>
      <c r="D49" s="22">
        <v>45814</v>
      </c>
      <c r="E49" s="8" t="s">
        <v>263</v>
      </c>
      <c r="F49" s="3" t="s">
        <v>32</v>
      </c>
      <c r="G49" s="3" t="s">
        <v>24</v>
      </c>
      <c r="H49" s="8" t="s">
        <v>198</v>
      </c>
      <c r="I49" s="8" t="s">
        <v>198</v>
      </c>
      <c r="J49" s="1" t="s">
        <v>264</v>
      </c>
      <c r="K49" s="23" t="s">
        <v>265</v>
      </c>
      <c r="L49" s="11">
        <v>45814</v>
      </c>
      <c r="M49" s="8" t="s">
        <v>198</v>
      </c>
      <c r="N49" s="8"/>
      <c r="O49" s="8" t="s">
        <v>266</v>
      </c>
      <c r="P49" s="8" t="s">
        <v>219</v>
      </c>
      <c r="Q49" s="46" t="e">
        <v>#N/A</v>
      </c>
      <c r="R49" s="46" t="e">
        <v>#N/A</v>
      </c>
      <c r="S49" s="46" t="e">
        <v>#N/A</v>
      </c>
      <c r="T49" s="46" t="e">
        <v>#N/A</v>
      </c>
      <c r="U49" s="46" t="e">
        <v>#N/A</v>
      </c>
    </row>
    <row r="50" spans="1:21">
      <c r="A50" s="3" t="s">
        <v>267</v>
      </c>
      <c r="B50" s="4"/>
      <c r="C50" s="21">
        <v>45815</v>
      </c>
      <c r="D50" s="22">
        <v>45815</v>
      </c>
      <c r="E50" s="8" t="s">
        <v>268</v>
      </c>
      <c r="F50" s="3" t="s">
        <v>23</v>
      </c>
      <c r="G50" s="3" t="s">
        <v>24</v>
      </c>
      <c r="H50" s="8" t="s">
        <v>103</v>
      </c>
      <c r="I50" s="8" t="s">
        <v>103</v>
      </c>
      <c r="J50" s="1" t="s">
        <v>269</v>
      </c>
      <c r="K50" s="23" t="s">
        <v>270</v>
      </c>
      <c r="L50" s="11">
        <v>45816</v>
      </c>
      <c r="M50" s="8" t="s">
        <v>271</v>
      </c>
      <c r="N50" s="8"/>
      <c r="O50" s="8" t="s">
        <v>272</v>
      </c>
      <c r="P50" s="8" t="s">
        <v>219</v>
      </c>
      <c r="Q50" s="46" t="e">
        <v>#N/A</v>
      </c>
      <c r="R50" s="46" t="e">
        <v>#N/A</v>
      </c>
      <c r="S50" s="46" t="e">
        <v>#N/A</v>
      </c>
      <c r="T50" s="46" t="e">
        <v>#N/A</v>
      </c>
      <c r="U50" s="46" t="e">
        <v>#N/A</v>
      </c>
    </row>
    <row r="51" spans="1:21">
      <c r="A51" s="3" t="s">
        <v>273</v>
      </c>
      <c r="B51" s="4"/>
      <c r="C51" s="21">
        <v>45816</v>
      </c>
      <c r="D51" s="22">
        <v>45816</v>
      </c>
      <c r="E51" s="8" t="s">
        <v>274</v>
      </c>
      <c r="F51" s="3" t="s">
        <v>32</v>
      </c>
      <c r="G51" s="3" t="s">
        <v>24</v>
      </c>
      <c r="H51" s="8" t="s">
        <v>25</v>
      </c>
      <c r="I51" s="8" t="s">
        <v>25</v>
      </c>
      <c r="J51" s="1" t="s">
        <v>275</v>
      </c>
      <c r="K51" s="23" t="s">
        <v>276</v>
      </c>
      <c r="L51" s="11">
        <v>45821</v>
      </c>
      <c r="M51" s="8" t="s">
        <v>162</v>
      </c>
      <c r="N51" s="8"/>
      <c r="O51" s="8" t="s">
        <v>277</v>
      </c>
      <c r="P51" s="8" t="s">
        <v>219</v>
      </c>
      <c r="Q51" s="46" t="e">
        <v>#N/A</v>
      </c>
      <c r="R51" s="46" t="e">
        <v>#N/A</v>
      </c>
      <c r="S51" s="46" t="e">
        <v>#N/A</v>
      </c>
      <c r="T51" s="46" t="e">
        <v>#N/A</v>
      </c>
      <c r="U51" s="46" t="e">
        <v>#N/A</v>
      </c>
    </row>
    <row r="52" spans="1:21">
      <c r="A52" s="3" t="s">
        <v>278</v>
      </c>
      <c r="B52" s="4"/>
      <c r="C52" s="21">
        <v>45816</v>
      </c>
      <c r="D52" s="22">
        <v>45816</v>
      </c>
      <c r="E52" s="8" t="s">
        <v>279</v>
      </c>
      <c r="F52" s="3" t="s">
        <v>23</v>
      </c>
      <c r="G52" s="3" t="s">
        <v>24</v>
      </c>
      <c r="H52" s="8" t="s">
        <v>25</v>
      </c>
      <c r="I52" s="8" t="s">
        <v>25</v>
      </c>
      <c r="J52" s="1" t="s">
        <v>280</v>
      </c>
      <c r="K52" s="23" t="s">
        <v>281</v>
      </c>
      <c r="L52" s="11">
        <v>45820</v>
      </c>
      <c r="M52" s="8" t="s">
        <v>282</v>
      </c>
      <c r="N52" s="8"/>
      <c r="O52" s="8" t="s">
        <v>256</v>
      </c>
      <c r="P52" s="8" t="s">
        <v>219</v>
      </c>
      <c r="Q52" s="46" t="e">
        <v>#N/A</v>
      </c>
      <c r="R52" s="46" t="e">
        <v>#N/A</v>
      </c>
      <c r="S52" s="46" t="e">
        <v>#N/A</v>
      </c>
      <c r="T52" s="46" t="e">
        <v>#N/A</v>
      </c>
      <c r="U52" s="46" t="e">
        <v>#N/A</v>
      </c>
    </row>
    <row r="53" spans="1:21">
      <c r="A53" s="3" t="s">
        <v>283</v>
      </c>
      <c r="B53" s="4"/>
      <c r="C53" s="21">
        <v>45816</v>
      </c>
      <c r="D53" s="22">
        <v>45816</v>
      </c>
      <c r="E53" s="8" t="s">
        <v>284</v>
      </c>
      <c r="F53" s="3" t="s">
        <v>32</v>
      </c>
      <c r="G53" s="3" t="s">
        <v>24</v>
      </c>
      <c r="H53" s="8" t="s">
        <v>55</v>
      </c>
      <c r="I53" s="8" t="s">
        <v>55</v>
      </c>
      <c r="J53" s="1" t="s">
        <v>285</v>
      </c>
      <c r="K53" s="23" t="s">
        <v>286</v>
      </c>
      <c r="L53" s="11">
        <v>45818</v>
      </c>
      <c r="M53" s="8" t="s">
        <v>28</v>
      </c>
      <c r="N53" s="8"/>
      <c r="O53" s="8" t="s">
        <v>256</v>
      </c>
      <c r="P53" s="8" t="s">
        <v>213</v>
      </c>
      <c r="Q53" s="46" t="e">
        <v>#N/A</v>
      </c>
      <c r="R53" s="46" t="e">
        <v>#N/A</v>
      </c>
      <c r="S53" s="46" t="e">
        <v>#N/A</v>
      </c>
      <c r="T53" s="46" t="e">
        <v>#N/A</v>
      </c>
      <c r="U53" s="46" t="e">
        <v>#N/A</v>
      </c>
    </row>
    <row r="54" spans="1:21">
      <c r="A54" s="3" t="s">
        <v>287</v>
      </c>
      <c r="B54" s="4"/>
      <c r="C54" s="21">
        <v>45817</v>
      </c>
      <c r="D54" s="22">
        <v>45817</v>
      </c>
      <c r="E54" s="8" t="s">
        <v>288</v>
      </c>
      <c r="F54" s="3" t="s">
        <v>32</v>
      </c>
      <c r="G54" s="3" t="s">
        <v>24</v>
      </c>
      <c r="H54" s="8" t="s">
        <v>55</v>
      </c>
      <c r="I54" s="8" t="s">
        <v>55</v>
      </c>
      <c r="J54" s="1" t="s">
        <v>289</v>
      </c>
      <c r="K54" s="23" t="s">
        <v>290</v>
      </c>
      <c r="L54" s="11">
        <v>45817</v>
      </c>
      <c r="M54" s="8" t="s">
        <v>28</v>
      </c>
      <c r="N54" s="8"/>
      <c r="O54" s="15" t="s">
        <v>291</v>
      </c>
      <c r="P54" s="8" t="s">
        <v>219</v>
      </c>
      <c r="Q54" s="46" t="e">
        <v>#N/A</v>
      </c>
      <c r="R54" s="46" t="e">
        <v>#N/A</v>
      </c>
      <c r="S54" s="46" t="e">
        <v>#N/A</v>
      </c>
      <c r="T54" s="46" t="e">
        <v>#N/A</v>
      </c>
      <c r="U54" s="46" t="e">
        <v>#N/A</v>
      </c>
    </row>
    <row r="55" spans="1:21">
      <c r="A55" s="3" t="s">
        <v>292</v>
      </c>
      <c r="B55" s="4"/>
      <c r="C55" s="21">
        <v>45817</v>
      </c>
      <c r="D55" s="22">
        <v>45817</v>
      </c>
      <c r="E55" s="8" t="s">
        <v>293</v>
      </c>
      <c r="F55" s="3" t="s">
        <v>32</v>
      </c>
      <c r="G55" s="3" t="s">
        <v>24</v>
      </c>
      <c r="H55" s="8" t="s">
        <v>55</v>
      </c>
      <c r="I55" s="8" t="s">
        <v>55</v>
      </c>
      <c r="J55" s="1" t="s">
        <v>294</v>
      </c>
      <c r="K55" s="23" t="s">
        <v>295</v>
      </c>
      <c r="L55" s="11">
        <v>45817</v>
      </c>
      <c r="M55" s="8" t="s">
        <v>28</v>
      </c>
      <c r="N55" s="8" t="s">
        <v>296</v>
      </c>
      <c r="O55" s="8" t="s">
        <v>297</v>
      </c>
      <c r="P55" s="8" t="s">
        <v>213</v>
      </c>
      <c r="Q55" s="46" t="e">
        <v>#N/A</v>
      </c>
      <c r="R55" s="46" t="e">
        <v>#N/A</v>
      </c>
      <c r="S55" s="46" t="e">
        <v>#N/A</v>
      </c>
      <c r="T55" s="46" t="e">
        <v>#N/A</v>
      </c>
      <c r="U55" s="46" t="e">
        <v>#N/A</v>
      </c>
    </row>
    <row r="56" spans="1:21">
      <c r="A56" s="3" t="s">
        <v>298</v>
      </c>
      <c r="B56" s="4"/>
      <c r="C56" s="21">
        <v>45817</v>
      </c>
      <c r="D56" s="22">
        <v>45817</v>
      </c>
      <c r="E56" s="8" t="s">
        <v>299</v>
      </c>
      <c r="F56" s="3" t="s">
        <v>32</v>
      </c>
      <c r="G56" s="3" t="s">
        <v>24</v>
      </c>
      <c r="H56" s="8" t="s">
        <v>55</v>
      </c>
      <c r="I56" s="8" t="s">
        <v>55</v>
      </c>
      <c r="J56" s="1" t="s">
        <v>300</v>
      </c>
      <c r="K56" s="23" t="s">
        <v>301</v>
      </c>
      <c r="L56" s="11">
        <v>45817</v>
      </c>
      <c r="M56" s="8" t="s">
        <v>28</v>
      </c>
      <c r="N56" s="8"/>
      <c r="O56" s="8" t="s">
        <v>302</v>
      </c>
      <c r="P56" s="8" t="s">
        <v>213</v>
      </c>
      <c r="Q56" s="46" t="e">
        <v>#N/A</v>
      </c>
      <c r="R56" s="46" t="e">
        <v>#N/A</v>
      </c>
      <c r="S56" s="46" t="e">
        <v>#N/A</v>
      </c>
      <c r="T56" s="46" t="e">
        <v>#N/A</v>
      </c>
      <c r="U56" s="46" t="e">
        <v>#N/A</v>
      </c>
    </row>
    <row r="57" spans="1:21">
      <c r="A57" s="3" t="s">
        <v>303</v>
      </c>
      <c r="B57" s="4"/>
      <c r="C57" s="21">
        <v>45817</v>
      </c>
      <c r="D57" s="22">
        <v>45817</v>
      </c>
      <c r="E57" s="8" t="s">
        <v>304</v>
      </c>
      <c r="F57" s="3" t="s">
        <v>32</v>
      </c>
      <c r="G57" s="3" t="s">
        <v>24</v>
      </c>
      <c r="H57" s="8" t="s">
        <v>25</v>
      </c>
      <c r="I57" s="8" t="s">
        <v>25</v>
      </c>
      <c r="J57" s="1" t="s">
        <v>305</v>
      </c>
      <c r="K57" s="23" t="s">
        <v>306</v>
      </c>
      <c r="L57" s="11">
        <v>45819</v>
      </c>
      <c r="M57" s="8" t="s">
        <v>198</v>
      </c>
      <c r="N57" s="8"/>
      <c r="O57" s="8" t="s">
        <v>266</v>
      </c>
      <c r="P57" s="8" t="s">
        <v>219</v>
      </c>
      <c r="Q57" s="46" t="e">
        <v>#N/A</v>
      </c>
      <c r="R57" s="46" t="e">
        <v>#N/A</v>
      </c>
      <c r="S57" s="46" t="e">
        <v>#N/A</v>
      </c>
      <c r="T57" s="46" t="e">
        <v>#N/A</v>
      </c>
      <c r="U57" s="46" t="e">
        <v>#N/A</v>
      </c>
    </row>
    <row r="58" spans="1:21">
      <c r="A58" s="3" t="s">
        <v>307</v>
      </c>
      <c r="B58" s="4"/>
      <c r="C58" s="21">
        <v>45818</v>
      </c>
      <c r="D58" s="22">
        <v>45818</v>
      </c>
      <c r="E58" s="8" t="s">
        <v>308</v>
      </c>
      <c r="F58" s="3" t="s">
        <v>32</v>
      </c>
      <c r="G58" s="3" t="s">
        <v>24</v>
      </c>
      <c r="H58" s="8" t="s">
        <v>55</v>
      </c>
      <c r="I58" s="8" t="s">
        <v>55</v>
      </c>
      <c r="J58" s="1" t="s">
        <v>309</v>
      </c>
      <c r="K58" s="23" t="s">
        <v>310</v>
      </c>
      <c r="L58" s="11">
        <v>45818</v>
      </c>
      <c r="M58" s="8" t="s">
        <v>311</v>
      </c>
      <c r="N58" s="8" t="s">
        <v>58</v>
      </c>
      <c r="O58" s="8" t="s">
        <v>312</v>
      </c>
      <c r="P58" s="8" t="s">
        <v>213</v>
      </c>
      <c r="Q58" s="46" t="e">
        <v>#N/A</v>
      </c>
      <c r="R58" s="46" t="e">
        <v>#N/A</v>
      </c>
      <c r="S58" s="46" t="e">
        <v>#N/A</v>
      </c>
      <c r="T58" s="46" t="e">
        <v>#N/A</v>
      </c>
      <c r="U58" s="46" t="e">
        <v>#N/A</v>
      </c>
    </row>
    <row r="59" spans="1:21">
      <c r="A59" s="3" t="s">
        <v>313</v>
      </c>
      <c r="B59" s="4"/>
      <c r="C59" s="21">
        <v>45818</v>
      </c>
      <c r="D59" s="22">
        <v>45818</v>
      </c>
      <c r="E59" s="8" t="s">
        <v>308</v>
      </c>
      <c r="F59" s="3" t="s">
        <v>23</v>
      </c>
      <c r="G59" s="3" t="s">
        <v>24</v>
      </c>
      <c r="H59" s="8" t="s">
        <v>55</v>
      </c>
      <c r="I59" s="8" t="s">
        <v>55</v>
      </c>
      <c r="J59" s="1" t="s">
        <v>314</v>
      </c>
      <c r="K59" s="23" t="s">
        <v>315</v>
      </c>
      <c r="L59" s="11">
        <v>45818</v>
      </c>
      <c r="M59" s="8" t="s">
        <v>68</v>
      </c>
      <c r="N59" s="8" t="s">
        <v>58</v>
      </c>
      <c r="O59" s="8" t="s">
        <v>59</v>
      </c>
      <c r="P59" s="8" t="s">
        <v>219</v>
      </c>
      <c r="Q59" s="46" t="e">
        <v>#N/A</v>
      </c>
      <c r="R59" s="46" t="e">
        <v>#N/A</v>
      </c>
      <c r="S59" s="46" t="e">
        <v>#N/A</v>
      </c>
      <c r="T59" s="46" t="e">
        <v>#N/A</v>
      </c>
      <c r="U59" s="46" t="e">
        <v>#N/A</v>
      </c>
    </row>
    <row r="60" spans="1:21">
      <c r="A60" s="3" t="s">
        <v>316</v>
      </c>
      <c r="B60" s="4"/>
      <c r="C60" s="21">
        <v>45818</v>
      </c>
      <c r="D60" s="22">
        <v>45818</v>
      </c>
      <c r="E60" s="8" t="s">
        <v>317</v>
      </c>
      <c r="F60" s="3" t="s">
        <v>32</v>
      </c>
      <c r="G60" s="3" t="s">
        <v>24</v>
      </c>
      <c r="H60" s="8" t="s">
        <v>55</v>
      </c>
      <c r="I60" s="8" t="s">
        <v>55</v>
      </c>
      <c r="J60" s="1" t="s">
        <v>318</v>
      </c>
      <c r="K60" s="23" t="s">
        <v>319</v>
      </c>
      <c r="L60" s="11">
        <v>45820</v>
      </c>
      <c r="M60" s="8" t="s">
        <v>28</v>
      </c>
      <c r="N60" s="8" t="s">
        <v>320</v>
      </c>
      <c r="O60" s="8" t="s">
        <v>321</v>
      </c>
      <c r="P60" s="8" t="s">
        <v>213</v>
      </c>
      <c r="Q60" s="46" t="e">
        <v>#N/A</v>
      </c>
      <c r="R60" s="46" t="e">
        <v>#N/A</v>
      </c>
      <c r="S60" s="46" t="e">
        <v>#N/A</v>
      </c>
      <c r="T60" s="46" t="e">
        <v>#N/A</v>
      </c>
      <c r="U60" s="46" t="e">
        <v>#N/A</v>
      </c>
    </row>
    <row r="61" spans="1:21">
      <c r="A61" s="3" t="s">
        <v>322</v>
      </c>
      <c r="B61" s="4"/>
      <c r="C61" s="21">
        <v>45820</v>
      </c>
      <c r="D61" s="22">
        <v>45820</v>
      </c>
      <c r="E61" s="8" t="s">
        <v>323</v>
      </c>
      <c r="F61" s="3" t="s">
        <v>23</v>
      </c>
      <c r="G61" s="3" t="s">
        <v>24</v>
      </c>
      <c r="H61" s="8" t="s">
        <v>55</v>
      </c>
      <c r="I61" s="8" t="s">
        <v>55</v>
      </c>
      <c r="J61" s="1" t="s">
        <v>324</v>
      </c>
      <c r="K61" s="23" t="s">
        <v>325</v>
      </c>
      <c r="L61" s="11">
        <v>45822</v>
      </c>
      <c r="M61" s="8" t="s">
        <v>28</v>
      </c>
      <c r="N61" s="8" t="s">
        <v>326</v>
      </c>
      <c r="O61" s="8" t="s">
        <v>59</v>
      </c>
      <c r="P61" s="8" t="s">
        <v>219</v>
      </c>
      <c r="Q61" s="46" t="e">
        <v>#N/A</v>
      </c>
      <c r="R61" s="46" t="e">
        <v>#N/A</v>
      </c>
      <c r="S61" s="46" t="e">
        <v>#N/A</v>
      </c>
      <c r="T61" s="46" t="e">
        <v>#N/A</v>
      </c>
      <c r="U61" s="46" t="e">
        <v>#N/A</v>
      </c>
    </row>
    <row r="62" spans="1:21">
      <c r="A62" s="3" t="s">
        <v>327</v>
      </c>
      <c r="B62" s="4"/>
      <c r="C62" s="21">
        <v>45820</v>
      </c>
      <c r="D62" s="22">
        <v>45820</v>
      </c>
      <c r="E62" s="8" t="s">
        <v>328</v>
      </c>
      <c r="F62" s="3" t="s">
        <v>23</v>
      </c>
      <c r="G62" s="3" t="s">
        <v>24</v>
      </c>
      <c r="H62" s="8" t="s">
        <v>55</v>
      </c>
      <c r="I62" s="8" t="s">
        <v>55</v>
      </c>
      <c r="J62" s="27" t="s">
        <v>329</v>
      </c>
      <c r="K62" s="19" t="s">
        <v>330</v>
      </c>
      <c r="L62" s="11">
        <v>45820</v>
      </c>
      <c r="M62" s="8" t="s">
        <v>331</v>
      </c>
      <c r="N62" s="8" t="s">
        <v>58</v>
      </c>
      <c r="O62" s="8" t="s">
        <v>312</v>
      </c>
      <c r="P62" s="8" t="s">
        <v>219</v>
      </c>
      <c r="Q62" s="46" t="e">
        <v>#N/A</v>
      </c>
      <c r="R62" s="46" t="e">
        <v>#N/A</v>
      </c>
      <c r="S62" s="46" t="e">
        <v>#N/A</v>
      </c>
      <c r="T62" s="46" t="e">
        <v>#N/A</v>
      </c>
      <c r="U62" s="46" t="e">
        <v>#N/A</v>
      </c>
    </row>
    <row r="63" spans="1:21">
      <c r="A63" s="3" t="s">
        <v>332</v>
      </c>
      <c r="B63" s="4"/>
      <c r="C63" s="21">
        <v>45824</v>
      </c>
      <c r="D63" s="22">
        <v>45824</v>
      </c>
      <c r="E63" s="8" t="s">
        <v>333</v>
      </c>
      <c r="F63" s="3" t="s">
        <v>32</v>
      </c>
      <c r="G63" s="3" t="s">
        <v>24</v>
      </c>
      <c r="H63" s="8" t="s">
        <v>103</v>
      </c>
      <c r="I63" s="8" t="s">
        <v>103</v>
      </c>
      <c r="J63" s="1" t="s">
        <v>334</v>
      </c>
      <c r="K63" s="23" t="s">
        <v>335</v>
      </c>
      <c r="L63" s="11">
        <v>45824</v>
      </c>
      <c r="M63" s="8" t="s">
        <v>336</v>
      </c>
      <c r="N63" s="8"/>
      <c r="O63" s="8" t="s">
        <v>337</v>
      </c>
      <c r="P63" s="8" t="s">
        <v>219</v>
      </c>
      <c r="Q63" s="46" t="e">
        <v>#N/A</v>
      </c>
      <c r="R63" s="46" t="e">
        <v>#N/A</v>
      </c>
      <c r="S63" s="46" t="e">
        <v>#N/A</v>
      </c>
      <c r="T63" s="46" t="e">
        <v>#N/A</v>
      </c>
      <c r="U63" s="46" t="e">
        <v>#N/A</v>
      </c>
    </row>
    <row r="64" spans="1:21">
      <c r="A64" s="3" t="s">
        <v>338</v>
      </c>
      <c r="B64" s="4"/>
      <c r="C64" s="21">
        <v>45824</v>
      </c>
      <c r="D64" s="22">
        <v>45824</v>
      </c>
      <c r="E64" s="8" t="s">
        <v>339</v>
      </c>
      <c r="F64" s="3" t="s">
        <v>32</v>
      </c>
      <c r="G64" s="3" t="s">
        <v>24</v>
      </c>
      <c r="H64" s="8" t="s">
        <v>340</v>
      </c>
      <c r="I64" s="8" t="s">
        <v>340</v>
      </c>
      <c r="J64" s="1" t="s">
        <v>341</v>
      </c>
      <c r="K64" s="23" t="s">
        <v>342</v>
      </c>
      <c r="L64" s="11">
        <v>45834.604166666664</v>
      </c>
      <c r="M64" s="8" t="s">
        <v>343</v>
      </c>
      <c r="N64" s="8" t="s">
        <v>143</v>
      </c>
      <c r="O64" s="8" t="s">
        <v>344</v>
      </c>
      <c r="P64" s="8" t="s">
        <v>213</v>
      </c>
      <c r="Q64" s="46" t="e">
        <v>#N/A</v>
      </c>
      <c r="R64" s="46" t="e">
        <v>#N/A</v>
      </c>
      <c r="S64" s="46" t="e">
        <v>#N/A</v>
      </c>
      <c r="T64" s="46" t="e">
        <v>#N/A</v>
      </c>
      <c r="U64" s="46" t="e">
        <v>#N/A</v>
      </c>
    </row>
    <row r="65" spans="1:21">
      <c r="A65" s="3" t="s">
        <v>345</v>
      </c>
      <c r="B65" s="4"/>
      <c r="C65" s="21">
        <v>45824</v>
      </c>
      <c r="D65" s="22">
        <v>45824</v>
      </c>
      <c r="E65" s="8" t="s">
        <v>346</v>
      </c>
      <c r="F65" s="3" t="s">
        <v>32</v>
      </c>
      <c r="G65" s="3" t="s">
        <v>24</v>
      </c>
      <c r="H65" s="8" t="s">
        <v>198</v>
      </c>
      <c r="I65" s="8" t="s">
        <v>198</v>
      </c>
      <c r="J65" s="1" t="s">
        <v>347</v>
      </c>
      <c r="K65" s="23" t="s">
        <v>348</v>
      </c>
      <c r="L65" s="11">
        <v>45825</v>
      </c>
      <c r="M65" s="8" t="s">
        <v>349</v>
      </c>
      <c r="N65" s="8" t="s">
        <v>350</v>
      </c>
      <c r="O65" s="8" t="s">
        <v>351</v>
      </c>
      <c r="P65" s="8" t="s">
        <v>219</v>
      </c>
      <c r="Q65" s="46" t="e">
        <v>#N/A</v>
      </c>
      <c r="R65" s="46" t="e">
        <v>#N/A</v>
      </c>
      <c r="S65" s="46" t="e">
        <v>#N/A</v>
      </c>
      <c r="T65" s="46" t="e">
        <v>#N/A</v>
      </c>
      <c r="U65" s="46" t="e">
        <v>#N/A</v>
      </c>
    </row>
    <row r="66" spans="1:21">
      <c r="A66" s="3" t="s">
        <v>352</v>
      </c>
      <c r="B66" s="4"/>
      <c r="C66" s="21">
        <v>45824</v>
      </c>
      <c r="D66" s="22">
        <v>45824</v>
      </c>
      <c r="E66" s="8" t="s">
        <v>353</v>
      </c>
      <c r="F66" s="3" t="s">
        <v>32</v>
      </c>
      <c r="G66" s="3" t="s">
        <v>24</v>
      </c>
      <c r="H66" s="8" t="s">
        <v>103</v>
      </c>
      <c r="I66" s="8" t="s">
        <v>103</v>
      </c>
      <c r="J66" s="1" t="s">
        <v>354</v>
      </c>
      <c r="K66" s="23" t="s">
        <v>355</v>
      </c>
      <c r="L66" s="11">
        <v>45825</v>
      </c>
      <c r="M66" s="8" t="s">
        <v>28</v>
      </c>
      <c r="N66" s="8" t="s">
        <v>356</v>
      </c>
      <c r="O66" s="8" t="s">
        <v>357</v>
      </c>
      <c r="P66" s="8" t="s">
        <v>213</v>
      </c>
      <c r="Q66" s="46" t="e">
        <v>#N/A</v>
      </c>
      <c r="R66" s="46" t="e">
        <v>#N/A</v>
      </c>
      <c r="S66" s="46" t="e">
        <v>#N/A</v>
      </c>
      <c r="T66" s="46" t="e">
        <v>#N/A</v>
      </c>
      <c r="U66" s="46" t="e">
        <v>#N/A</v>
      </c>
    </row>
    <row r="67" spans="1:21">
      <c r="A67" s="3" t="s">
        <v>358</v>
      </c>
      <c r="B67" s="4"/>
      <c r="C67" s="21">
        <v>45824</v>
      </c>
      <c r="D67" s="22">
        <v>45824</v>
      </c>
      <c r="E67" s="8" t="s">
        <v>359</v>
      </c>
      <c r="F67" s="3" t="s">
        <v>32</v>
      </c>
      <c r="G67" s="3" t="s">
        <v>24</v>
      </c>
      <c r="H67" s="8" t="s">
        <v>55</v>
      </c>
      <c r="I67" s="8" t="s">
        <v>55</v>
      </c>
      <c r="J67" s="1" t="s">
        <v>360</v>
      </c>
      <c r="K67" s="23" t="s">
        <v>361</v>
      </c>
      <c r="L67" s="11">
        <v>45824</v>
      </c>
      <c r="M67" s="8" t="s">
        <v>229</v>
      </c>
      <c r="N67" s="8"/>
      <c r="O67" s="8" t="s">
        <v>362</v>
      </c>
      <c r="P67" s="8" t="s">
        <v>219</v>
      </c>
      <c r="Q67" s="46" t="e">
        <v>#N/A</v>
      </c>
      <c r="R67" s="46" t="e">
        <v>#N/A</v>
      </c>
      <c r="S67" s="46" t="e">
        <v>#N/A</v>
      </c>
      <c r="T67" s="46" t="e">
        <v>#N/A</v>
      </c>
      <c r="U67" s="46" t="e">
        <v>#N/A</v>
      </c>
    </row>
    <row r="68" spans="1:21">
      <c r="A68" s="3" t="s">
        <v>363</v>
      </c>
      <c r="B68" s="4"/>
      <c r="C68" s="21">
        <v>45825</v>
      </c>
      <c r="D68" s="22">
        <v>45825</v>
      </c>
      <c r="E68" s="8" t="s">
        <v>364</v>
      </c>
      <c r="F68" s="3" t="s">
        <v>23</v>
      </c>
      <c r="G68" s="3" t="s">
        <v>24</v>
      </c>
      <c r="H68" s="8" t="s">
        <v>55</v>
      </c>
      <c r="I68" s="8" t="s">
        <v>55</v>
      </c>
      <c r="J68" s="1" t="s">
        <v>365</v>
      </c>
      <c r="K68" s="23" t="s">
        <v>366</v>
      </c>
      <c r="L68" s="11">
        <v>45825</v>
      </c>
      <c r="M68" s="8" t="s">
        <v>28</v>
      </c>
      <c r="N68" s="8"/>
      <c r="O68" s="8" t="s">
        <v>367</v>
      </c>
      <c r="P68" s="8" t="s">
        <v>219</v>
      </c>
      <c r="Q68" s="46" t="e">
        <v>#N/A</v>
      </c>
      <c r="R68" s="46" t="e">
        <v>#N/A</v>
      </c>
      <c r="S68" s="46" t="e">
        <v>#N/A</v>
      </c>
      <c r="T68" s="46" t="e">
        <v>#N/A</v>
      </c>
      <c r="U68" s="46" t="e">
        <v>#N/A</v>
      </c>
    </row>
    <row r="69" spans="1:21">
      <c r="A69" s="3" t="s">
        <v>368</v>
      </c>
      <c r="B69" s="4"/>
      <c r="C69" s="21">
        <v>45825</v>
      </c>
      <c r="D69" s="22">
        <v>45825</v>
      </c>
      <c r="E69" s="8" t="s">
        <v>369</v>
      </c>
      <c r="F69" s="3" t="s">
        <v>32</v>
      </c>
      <c r="G69" s="3" t="s">
        <v>24</v>
      </c>
      <c r="H69" s="8" t="s">
        <v>25</v>
      </c>
      <c r="I69" s="8" t="s">
        <v>25</v>
      </c>
      <c r="J69" s="1" t="s">
        <v>370</v>
      </c>
      <c r="K69" s="16" t="s">
        <v>371</v>
      </c>
      <c r="L69" s="11">
        <v>45825</v>
      </c>
      <c r="M69" s="8" t="s">
        <v>331</v>
      </c>
      <c r="N69" s="8"/>
      <c r="O69" s="8" t="s">
        <v>256</v>
      </c>
      <c r="P69" s="8" t="s">
        <v>219</v>
      </c>
      <c r="Q69" s="46" t="e">
        <v>#N/A</v>
      </c>
      <c r="R69" s="46" t="e">
        <v>#N/A</v>
      </c>
      <c r="S69" s="46" t="e">
        <v>#N/A</v>
      </c>
      <c r="T69" s="46" t="e">
        <v>#N/A</v>
      </c>
      <c r="U69" s="46" t="e">
        <v>#N/A</v>
      </c>
    </row>
    <row r="70" spans="1:21">
      <c r="A70" s="3" t="s">
        <v>372</v>
      </c>
      <c r="B70" s="4"/>
      <c r="C70" s="21">
        <v>45827</v>
      </c>
      <c r="D70" s="22">
        <v>0.45833333333333331</v>
      </c>
      <c r="E70" s="8" t="s">
        <v>373</v>
      </c>
      <c r="F70" s="3" t="s">
        <v>32</v>
      </c>
      <c r="G70" s="3" t="s">
        <v>24</v>
      </c>
      <c r="H70" s="8" t="s">
        <v>33</v>
      </c>
      <c r="I70" s="8" t="s">
        <v>33</v>
      </c>
      <c r="J70" s="1" t="s">
        <v>374</v>
      </c>
      <c r="K70" s="16" t="s">
        <v>375</v>
      </c>
      <c r="L70" s="12">
        <v>45827.635416666664</v>
      </c>
      <c r="M70" s="8" t="s">
        <v>68</v>
      </c>
      <c r="N70" s="8"/>
      <c r="O70" s="8" t="s">
        <v>376</v>
      </c>
      <c r="P70" s="8" t="s">
        <v>219</v>
      </c>
      <c r="Q70" s="46" t="e">
        <v>#N/A</v>
      </c>
      <c r="R70" s="46" t="e">
        <v>#N/A</v>
      </c>
      <c r="S70" s="46" t="e">
        <v>#N/A</v>
      </c>
      <c r="T70" s="46" t="e">
        <v>#N/A</v>
      </c>
      <c r="U70" s="46" t="e">
        <v>#N/A</v>
      </c>
    </row>
    <row r="71" spans="1:21">
      <c r="A71" s="3" t="s">
        <v>377</v>
      </c>
      <c r="B71" s="4"/>
      <c r="C71" s="21">
        <v>45827</v>
      </c>
      <c r="D71" s="22">
        <v>0.49722222222222223</v>
      </c>
      <c r="E71" s="8" t="s">
        <v>378</v>
      </c>
      <c r="F71" s="3" t="s">
        <v>23</v>
      </c>
      <c r="G71" s="3" t="s">
        <v>24</v>
      </c>
      <c r="H71" s="8" t="s">
        <v>33</v>
      </c>
      <c r="I71" s="8" t="s">
        <v>33</v>
      </c>
      <c r="J71" s="1" t="s">
        <v>379</v>
      </c>
      <c r="K71" s="16" t="s">
        <v>380</v>
      </c>
      <c r="L71" s="12">
        <v>45827.625</v>
      </c>
      <c r="M71" s="8" t="s">
        <v>68</v>
      </c>
      <c r="N71" s="8"/>
      <c r="O71" s="8" t="s">
        <v>381</v>
      </c>
      <c r="P71" s="8" t="s">
        <v>219</v>
      </c>
      <c r="Q71" s="46" t="e">
        <v>#N/A</v>
      </c>
      <c r="R71" s="46" t="e">
        <v>#N/A</v>
      </c>
      <c r="S71" s="46" t="e">
        <v>#N/A</v>
      </c>
      <c r="T71" s="46" t="e">
        <v>#N/A</v>
      </c>
      <c r="U71" s="46" t="e">
        <v>#N/A</v>
      </c>
    </row>
    <row r="72" spans="1:21">
      <c r="A72" s="3" t="s">
        <v>382</v>
      </c>
      <c r="B72" s="4"/>
      <c r="C72" s="21">
        <v>45827</v>
      </c>
      <c r="D72" s="22">
        <v>0.5625</v>
      </c>
      <c r="E72" s="8" t="s">
        <v>383</v>
      </c>
      <c r="F72" s="3" t="s">
        <v>32</v>
      </c>
      <c r="G72" s="3" t="s">
        <v>24</v>
      </c>
      <c r="H72" s="8" t="s">
        <v>384</v>
      </c>
      <c r="I72" s="8" t="s">
        <v>384</v>
      </c>
      <c r="J72" s="1" t="s">
        <v>385</v>
      </c>
      <c r="K72" s="16" t="s">
        <v>386</v>
      </c>
      <c r="L72" s="12">
        <v>45833.486111111109</v>
      </c>
      <c r="M72" s="8" t="s">
        <v>28</v>
      </c>
      <c r="N72" s="8" t="s">
        <v>387</v>
      </c>
      <c r="O72" s="8" t="s">
        <v>388</v>
      </c>
      <c r="P72" s="8" t="s">
        <v>213</v>
      </c>
      <c r="Q72" s="46" t="e">
        <v>#N/A</v>
      </c>
      <c r="R72" s="46" t="e">
        <v>#N/A</v>
      </c>
      <c r="S72" s="46" t="e">
        <v>#N/A</v>
      </c>
      <c r="T72" s="46" t="e">
        <v>#N/A</v>
      </c>
      <c r="U72" s="46" t="e">
        <v>#N/A</v>
      </c>
    </row>
    <row r="73" spans="1:21">
      <c r="A73" s="3" t="s">
        <v>389</v>
      </c>
      <c r="B73" s="4"/>
      <c r="C73" s="21">
        <v>45830</v>
      </c>
      <c r="D73" s="22">
        <v>0.31597222222222221</v>
      </c>
      <c r="E73" s="8" t="s">
        <v>390</v>
      </c>
      <c r="F73" s="3" t="s">
        <v>32</v>
      </c>
      <c r="G73" s="3" t="s">
        <v>24</v>
      </c>
      <c r="H73" s="8" t="s">
        <v>103</v>
      </c>
      <c r="I73" s="8" t="s">
        <v>103</v>
      </c>
      <c r="J73" s="20" t="s">
        <v>391</v>
      </c>
      <c r="K73" s="16" t="s">
        <v>392</v>
      </c>
      <c r="L73" s="12">
        <v>45830.351388888892</v>
      </c>
      <c r="M73" s="8" t="s">
        <v>336</v>
      </c>
      <c r="N73" s="8"/>
      <c r="O73" s="15" t="s">
        <v>138</v>
      </c>
      <c r="P73" s="8" t="s">
        <v>219</v>
      </c>
      <c r="Q73" s="46" t="e">
        <v>#N/A</v>
      </c>
      <c r="R73" s="46" t="e">
        <v>#N/A</v>
      </c>
      <c r="S73" s="46" t="e">
        <v>#N/A</v>
      </c>
      <c r="T73" s="46" t="e">
        <v>#N/A</v>
      </c>
      <c r="U73" s="46" t="e">
        <v>#N/A</v>
      </c>
    </row>
    <row r="74" spans="1:21">
      <c r="A74" s="3" t="s">
        <v>393</v>
      </c>
      <c r="B74" s="4"/>
      <c r="C74" s="29">
        <v>45832</v>
      </c>
      <c r="D74" s="30">
        <v>0.3848611111111111</v>
      </c>
      <c r="E74" s="8" t="s">
        <v>394</v>
      </c>
      <c r="F74" s="3" t="s">
        <v>23</v>
      </c>
      <c r="G74" s="3" t="s">
        <v>24</v>
      </c>
      <c r="H74" s="8" t="s">
        <v>340</v>
      </c>
      <c r="I74" s="8" t="s">
        <v>340</v>
      </c>
      <c r="J74" s="1" t="s">
        <v>395</v>
      </c>
      <c r="K74" s="16" t="s">
        <v>396</v>
      </c>
      <c r="L74" s="12">
        <v>45833.657638888886</v>
      </c>
      <c r="M74" s="8" t="s">
        <v>397</v>
      </c>
      <c r="N74" s="8"/>
      <c r="O74" s="8" t="s">
        <v>398</v>
      </c>
      <c r="P74" s="8" t="s">
        <v>219</v>
      </c>
      <c r="Q74" s="46" t="e">
        <v>#N/A</v>
      </c>
      <c r="R74" s="46" t="e">
        <v>#N/A</v>
      </c>
      <c r="S74" s="46" t="e">
        <v>#N/A</v>
      </c>
      <c r="T74" s="46" t="e">
        <v>#N/A</v>
      </c>
      <c r="U74" s="46" t="e">
        <v>#N/A</v>
      </c>
    </row>
    <row r="75" spans="1:21">
      <c r="A75" s="3" t="s">
        <v>399</v>
      </c>
      <c r="B75" s="4"/>
      <c r="C75" s="29">
        <v>45832</v>
      </c>
      <c r="D75" s="30">
        <v>0.3928935185185185</v>
      </c>
      <c r="E75" s="8" t="s">
        <v>400</v>
      </c>
      <c r="F75" s="3" t="s">
        <v>32</v>
      </c>
      <c r="G75" s="3" t="s">
        <v>24</v>
      </c>
      <c r="H75" s="8" t="s">
        <v>55</v>
      </c>
      <c r="I75" s="8" t="s">
        <v>55</v>
      </c>
      <c r="J75" s="1" t="s">
        <v>401</v>
      </c>
      <c r="K75" s="16" t="s">
        <v>402</v>
      </c>
      <c r="L75" s="12">
        <v>45832.541666666664</v>
      </c>
      <c r="M75" s="8" t="s">
        <v>397</v>
      </c>
      <c r="N75" s="8" t="s">
        <v>403</v>
      </c>
      <c r="O75" s="8" t="s">
        <v>404</v>
      </c>
      <c r="P75" s="8" t="s">
        <v>219</v>
      </c>
      <c r="Q75" s="46" t="e">
        <v>#N/A</v>
      </c>
      <c r="R75" s="46" t="e">
        <v>#N/A</v>
      </c>
      <c r="S75" s="46" t="e">
        <v>#N/A</v>
      </c>
      <c r="T75" s="46" t="e">
        <v>#N/A</v>
      </c>
      <c r="U75" s="46" t="e">
        <v>#N/A</v>
      </c>
    </row>
    <row r="76" spans="1:21">
      <c r="A76" s="3" t="s">
        <v>405</v>
      </c>
      <c r="B76" s="4"/>
      <c r="C76" s="29">
        <v>45833</v>
      </c>
      <c r="D76" s="30">
        <v>0.91666666666666663</v>
      </c>
      <c r="E76" s="8" t="s">
        <v>406</v>
      </c>
      <c r="F76" s="3" t="s">
        <v>23</v>
      </c>
      <c r="G76" s="3" t="s">
        <v>24</v>
      </c>
      <c r="H76" s="8" t="s">
        <v>55</v>
      </c>
      <c r="I76" s="8" t="s">
        <v>55</v>
      </c>
      <c r="J76" s="1" t="s">
        <v>407</v>
      </c>
      <c r="K76" s="16" t="s">
        <v>408</v>
      </c>
      <c r="L76" s="12">
        <v>45833.965277777781</v>
      </c>
      <c r="M76" s="8" t="s">
        <v>229</v>
      </c>
      <c r="N76" s="8"/>
      <c r="O76" s="8" t="s">
        <v>367</v>
      </c>
      <c r="P76" s="8" t="s">
        <v>219</v>
      </c>
      <c r="Q76" s="46" t="e">
        <v>#N/A</v>
      </c>
      <c r="R76" s="46" t="e">
        <v>#N/A</v>
      </c>
      <c r="S76" s="46" t="e">
        <v>#N/A</v>
      </c>
      <c r="T76" s="46" t="e">
        <v>#N/A</v>
      </c>
      <c r="U76" s="46" t="e">
        <v>#N/A</v>
      </c>
    </row>
    <row r="77" spans="1:21">
      <c r="A77" s="3" t="s">
        <v>409</v>
      </c>
      <c r="B77" s="4"/>
      <c r="C77" s="29">
        <v>45835</v>
      </c>
      <c r="D77" s="30">
        <v>0.45833333333333331</v>
      </c>
      <c r="E77" s="8" t="s">
        <v>410</v>
      </c>
      <c r="F77" s="3" t="s">
        <v>32</v>
      </c>
      <c r="G77" s="3" t="s">
        <v>24</v>
      </c>
      <c r="H77" s="8" t="s">
        <v>103</v>
      </c>
      <c r="I77" s="8" t="s">
        <v>103</v>
      </c>
      <c r="J77" s="1" t="s">
        <v>411</v>
      </c>
      <c r="K77" s="16" t="s">
        <v>412</v>
      </c>
      <c r="L77" s="12">
        <v>45863.708333333336</v>
      </c>
      <c r="M77" s="8" t="s">
        <v>28</v>
      </c>
      <c r="N77" s="8" t="s">
        <v>413</v>
      </c>
      <c r="O77" s="8" t="s">
        <v>138</v>
      </c>
      <c r="P77" s="8" t="s">
        <v>219</v>
      </c>
      <c r="Q77" s="46" t="e">
        <v>#N/A</v>
      </c>
      <c r="R77" s="46" t="e">
        <v>#N/A</v>
      </c>
      <c r="S77" s="46" t="e">
        <v>#N/A</v>
      </c>
      <c r="T77" s="46" t="e">
        <v>#N/A</v>
      </c>
      <c r="U77" s="46" t="e">
        <v>#N/A</v>
      </c>
    </row>
    <row r="78" spans="1:21">
      <c r="A78" s="3" t="s">
        <v>414</v>
      </c>
      <c r="B78" s="4"/>
      <c r="C78" s="29">
        <v>45835</v>
      </c>
      <c r="D78" s="30">
        <v>0.83472222222222225</v>
      </c>
      <c r="E78" s="8" t="s">
        <v>415</v>
      </c>
      <c r="F78" s="3" t="s">
        <v>32</v>
      </c>
      <c r="G78" s="3" t="s">
        <v>24</v>
      </c>
      <c r="H78" s="8" t="s">
        <v>25</v>
      </c>
      <c r="I78" s="8" t="s">
        <v>25</v>
      </c>
      <c r="J78" s="1" t="s">
        <v>416</v>
      </c>
      <c r="K78" s="16" t="s">
        <v>417</v>
      </c>
      <c r="L78" s="12">
        <v>45839.5625</v>
      </c>
      <c r="M78" s="8" t="s">
        <v>28</v>
      </c>
      <c r="N78" s="8"/>
      <c r="O78" s="8" t="s">
        <v>418</v>
      </c>
      <c r="P78" s="8" t="s">
        <v>219</v>
      </c>
      <c r="Q78" s="46" t="e">
        <v>#N/A</v>
      </c>
      <c r="R78" s="46" t="e">
        <v>#N/A</v>
      </c>
      <c r="S78" s="46" t="e">
        <v>#N/A</v>
      </c>
      <c r="T78" s="46" t="e">
        <v>#N/A</v>
      </c>
      <c r="U78" s="46" t="e">
        <v>#N/A</v>
      </c>
    </row>
    <row r="79" spans="1:21">
      <c r="A79" s="3" t="s">
        <v>419</v>
      </c>
      <c r="B79" s="4"/>
      <c r="C79" s="29">
        <v>45838</v>
      </c>
      <c r="D79" s="30">
        <v>0.5083333333333333</v>
      </c>
      <c r="E79" s="24" t="s">
        <v>420</v>
      </c>
      <c r="F79" s="3" t="s">
        <v>23</v>
      </c>
      <c r="G79" s="3" t="s">
        <v>24</v>
      </c>
      <c r="H79" s="8" t="s">
        <v>340</v>
      </c>
      <c r="I79" s="8" t="s">
        <v>340</v>
      </c>
      <c r="J79" s="1" t="s">
        <v>421</v>
      </c>
      <c r="K79" s="16" t="s">
        <v>422</v>
      </c>
      <c r="L79" s="12">
        <v>45838.708333333336</v>
      </c>
      <c r="M79" s="8" t="s">
        <v>28</v>
      </c>
      <c r="N79" s="8" t="s">
        <v>423</v>
      </c>
      <c r="O79" s="8" t="s">
        <v>398</v>
      </c>
      <c r="P79" s="8" t="s">
        <v>213</v>
      </c>
      <c r="Q79" s="46" t="e">
        <v>#N/A</v>
      </c>
      <c r="R79" s="46" t="e">
        <v>#N/A</v>
      </c>
      <c r="S79" s="46" t="e">
        <v>#N/A</v>
      </c>
      <c r="T79" s="46" t="e">
        <v>#N/A</v>
      </c>
      <c r="U79" s="46" t="e">
        <v>#N/A</v>
      </c>
    </row>
    <row r="80" spans="1:21">
      <c r="A80" s="3" t="s">
        <v>424</v>
      </c>
      <c r="B80" s="4"/>
      <c r="C80" s="29">
        <v>45839</v>
      </c>
      <c r="D80" s="30">
        <v>0.64375000000000004</v>
      </c>
      <c r="E80" s="8" t="s">
        <v>425</v>
      </c>
      <c r="F80" s="3" t="s">
        <v>23</v>
      </c>
      <c r="G80" s="3" t="s">
        <v>24</v>
      </c>
      <c r="H80" s="8" t="s">
        <v>55</v>
      </c>
      <c r="I80" s="8" t="str">
        <f>VLOOKUP(A80,'[1]Data-Upd'!$A:$G,7,FALSE)</f>
        <v>Online</v>
      </c>
      <c r="J80" s="1" t="s">
        <v>426</v>
      </c>
      <c r="K80" s="16" t="s">
        <v>427</v>
      </c>
      <c r="L80" s="12">
        <v>45839.659722222219</v>
      </c>
      <c r="M80" s="8" t="s">
        <v>428</v>
      </c>
      <c r="N80" s="8"/>
      <c r="O80" s="8" t="s">
        <v>367</v>
      </c>
      <c r="P80" s="8" t="s">
        <v>219</v>
      </c>
      <c r="Q80" s="46" t="s">
        <v>429</v>
      </c>
      <c r="R80" s="46" t="s">
        <v>430</v>
      </c>
      <c r="S80" s="46">
        <v>0</v>
      </c>
      <c r="T80" s="46">
        <v>0</v>
      </c>
      <c r="U80" s="46" t="s">
        <v>431</v>
      </c>
    </row>
    <row r="81" spans="1:21">
      <c r="A81" s="3" t="s">
        <v>432</v>
      </c>
      <c r="B81" s="4"/>
      <c r="C81" s="29">
        <v>45841</v>
      </c>
      <c r="D81" s="30">
        <v>0.74305555555555558</v>
      </c>
      <c r="E81" s="8" t="s">
        <v>433</v>
      </c>
      <c r="F81" s="3" t="s">
        <v>23</v>
      </c>
      <c r="G81" s="3" t="s">
        <v>24</v>
      </c>
      <c r="H81" s="8" t="s">
        <v>33</v>
      </c>
      <c r="I81" s="8" t="str">
        <f>VLOOKUP(A81,'[1]Data-Upd'!$A:$G,7,FALSE)</f>
        <v>Infrastructure</v>
      </c>
      <c r="J81" s="1" t="s">
        <v>434</v>
      </c>
      <c r="K81" s="16" t="s">
        <v>435</v>
      </c>
      <c r="L81" s="12">
        <v>45841.757233796299</v>
      </c>
      <c r="M81" s="8" t="s">
        <v>68</v>
      </c>
      <c r="N81" s="8" t="s">
        <v>436</v>
      </c>
      <c r="O81" s="8" t="s">
        <v>437</v>
      </c>
      <c r="P81" s="8" t="s">
        <v>438</v>
      </c>
      <c r="Q81" s="46" t="s">
        <v>439</v>
      </c>
      <c r="R81" s="46" t="s">
        <v>440</v>
      </c>
      <c r="S81" s="46">
        <v>0</v>
      </c>
      <c r="T81" s="46">
        <v>0</v>
      </c>
      <c r="U81" s="46" t="s">
        <v>431</v>
      </c>
    </row>
    <row r="82" spans="1:21">
      <c r="A82" s="3" t="s">
        <v>441</v>
      </c>
      <c r="B82" s="4"/>
      <c r="C82" s="29">
        <v>45842</v>
      </c>
      <c r="D82" s="30">
        <v>0.50694444444444442</v>
      </c>
      <c r="E82" s="8" t="s">
        <v>442</v>
      </c>
      <c r="F82" s="3" t="s">
        <v>23</v>
      </c>
      <c r="G82" s="3" t="s">
        <v>24</v>
      </c>
      <c r="H82" s="8" t="s">
        <v>103</v>
      </c>
      <c r="I82" s="8" t="str">
        <f>VLOOKUP(A82,'[1]Data-Upd'!$A:$G,7,FALSE)</f>
        <v>Supply Chain</v>
      </c>
      <c r="J82" s="1" t="s">
        <v>443</v>
      </c>
      <c r="K82" s="16" t="s">
        <v>444</v>
      </c>
      <c r="L82" s="12">
        <v>45842.604166666664</v>
      </c>
      <c r="M82" s="4" t="s">
        <v>445</v>
      </c>
      <c r="N82" s="8"/>
      <c r="O82" s="8" t="s">
        <v>138</v>
      </c>
      <c r="P82" s="8" t="s">
        <v>446</v>
      </c>
      <c r="Q82" s="46" t="s">
        <v>447</v>
      </c>
      <c r="R82" s="46" t="s">
        <v>440</v>
      </c>
      <c r="S82" s="46" t="s">
        <v>430</v>
      </c>
      <c r="T82" s="46" t="s">
        <v>448</v>
      </c>
      <c r="U82" s="46" t="s">
        <v>449</v>
      </c>
    </row>
    <row r="83" spans="1:21">
      <c r="A83" s="3" t="s">
        <v>450</v>
      </c>
      <c r="B83" s="4"/>
      <c r="C83" s="29">
        <v>45843</v>
      </c>
      <c r="D83" s="30">
        <v>0.45347222222222222</v>
      </c>
      <c r="E83" s="8" t="s">
        <v>451</v>
      </c>
      <c r="F83" s="3" t="s">
        <v>32</v>
      </c>
      <c r="G83" s="3" t="s">
        <v>24</v>
      </c>
      <c r="H83" s="8" t="s">
        <v>55</v>
      </c>
      <c r="I83" s="8" t="str">
        <f>VLOOKUP(A83,'[1]Data-Upd'!$A:$G,7,FALSE)</f>
        <v>Online</v>
      </c>
      <c r="J83" s="1" t="s">
        <v>452</v>
      </c>
      <c r="K83" s="16" t="s">
        <v>453</v>
      </c>
      <c r="L83" s="12">
        <v>45843.474305555559</v>
      </c>
      <c r="M83" s="8" t="s">
        <v>454</v>
      </c>
      <c r="N83" s="8"/>
      <c r="O83" s="8" t="s">
        <v>455</v>
      </c>
      <c r="P83" s="8" t="s">
        <v>219</v>
      </c>
      <c r="Q83" s="46" t="s">
        <v>456</v>
      </c>
      <c r="R83" s="46" t="s">
        <v>440</v>
      </c>
      <c r="S83" s="46">
        <v>0</v>
      </c>
      <c r="T83" s="46">
        <v>0</v>
      </c>
      <c r="U83" s="46" t="s">
        <v>457</v>
      </c>
    </row>
    <row r="84" spans="1:21">
      <c r="A84" s="3" t="s">
        <v>458</v>
      </c>
      <c r="B84" s="4"/>
      <c r="C84" s="29">
        <v>45845</v>
      </c>
      <c r="D84" s="30">
        <v>0.45347222222222222</v>
      </c>
      <c r="E84" s="32" t="s">
        <v>459</v>
      </c>
      <c r="F84" s="3" t="s">
        <v>23</v>
      </c>
      <c r="G84" s="3" t="s">
        <v>24</v>
      </c>
      <c r="H84" s="8" t="s">
        <v>340</v>
      </c>
      <c r="I84" s="8" t="str">
        <f>VLOOKUP(A84,'[1]Data-Upd'!$A:$G,7,FALSE)</f>
        <v>Loyalty</v>
      </c>
      <c r="J84" s="1" t="s">
        <v>460</v>
      </c>
      <c r="K84" s="33" t="s">
        <v>461</v>
      </c>
      <c r="L84" s="12">
        <v>45870.602951388886</v>
      </c>
      <c r="M84" s="8" t="s">
        <v>28</v>
      </c>
      <c r="N84" s="14" t="s">
        <v>462</v>
      </c>
      <c r="O84" s="8" t="s">
        <v>344</v>
      </c>
      <c r="P84" s="8" t="s">
        <v>213</v>
      </c>
      <c r="Q84" s="46" t="s">
        <v>463</v>
      </c>
      <c r="R84" s="46" t="s">
        <v>440</v>
      </c>
      <c r="S84" s="46">
        <v>0</v>
      </c>
      <c r="T84" s="46">
        <v>0</v>
      </c>
      <c r="U84" s="46" t="s">
        <v>464</v>
      </c>
    </row>
    <row r="85" spans="1:21">
      <c r="A85" s="3" t="s">
        <v>465</v>
      </c>
      <c r="B85" s="4"/>
      <c r="C85" s="29">
        <v>45847</v>
      </c>
      <c r="D85" s="30">
        <v>0.5625</v>
      </c>
      <c r="E85" s="8" t="s">
        <v>466</v>
      </c>
      <c r="F85" s="3" t="s">
        <v>32</v>
      </c>
      <c r="G85" s="3" t="s">
        <v>24</v>
      </c>
      <c r="H85" s="8" t="s">
        <v>33</v>
      </c>
      <c r="I85" s="8" t="str">
        <f>VLOOKUP(A85,'[1]Data-Upd'!$A:$G,7,FALSE)</f>
        <v>Infrastructure</v>
      </c>
      <c r="J85" s="1" t="s">
        <v>467</v>
      </c>
      <c r="K85" s="16" t="s">
        <v>468</v>
      </c>
      <c r="L85" s="12">
        <v>45852.699305555558</v>
      </c>
      <c r="M85" s="8" t="s">
        <v>469</v>
      </c>
      <c r="N85" s="8"/>
      <c r="O85" s="8" t="s">
        <v>470</v>
      </c>
      <c r="P85" s="8" t="s">
        <v>213</v>
      </c>
      <c r="Q85" s="46" t="s">
        <v>471</v>
      </c>
      <c r="R85" s="46" t="s">
        <v>440</v>
      </c>
      <c r="S85" s="46">
        <v>0</v>
      </c>
      <c r="T85" s="46">
        <v>0</v>
      </c>
      <c r="U85" s="46" t="s">
        <v>457</v>
      </c>
    </row>
    <row r="86" spans="1:21">
      <c r="A86" s="3" t="s">
        <v>472</v>
      </c>
      <c r="B86" s="4"/>
      <c r="C86" s="29">
        <v>45849</v>
      </c>
      <c r="D86" s="30">
        <v>0.76041666666666663</v>
      </c>
      <c r="E86" s="8" t="s">
        <v>473</v>
      </c>
      <c r="F86" s="3" t="s">
        <v>32</v>
      </c>
      <c r="G86" s="3" t="s">
        <v>24</v>
      </c>
      <c r="H86" s="8" t="s">
        <v>103</v>
      </c>
      <c r="I86" s="8" t="str">
        <f>VLOOKUP(A86,'[1]Data-Upd'!$A:$G,7,FALSE)</f>
        <v>Food</v>
      </c>
      <c r="J86" s="1" t="s">
        <v>474</v>
      </c>
      <c r="K86" s="16" t="s">
        <v>475</v>
      </c>
      <c r="L86" s="12">
        <v>45852.625</v>
      </c>
      <c r="M86" s="8" t="s">
        <v>476</v>
      </c>
      <c r="N86" s="8"/>
      <c r="O86" s="8" t="s">
        <v>477</v>
      </c>
      <c r="P86" s="8" t="s">
        <v>213</v>
      </c>
      <c r="Q86" s="46" t="s">
        <v>478</v>
      </c>
      <c r="R86" s="46" t="s">
        <v>440</v>
      </c>
      <c r="S86" s="46" t="s">
        <v>430</v>
      </c>
      <c r="T86" s="46" t="s">
        <v>440</v>
      </c>
      <c r="U86" s="46" t="s">
        <v>479</v>
      </c>
    </row>
    <row r="87" spans="1:21">
      <c r="A87" s="3" t="s">
        <v>480</v>
      </c>
      <c r="B87" s="4"/>
      <c r="C87" s="29">
        <v>45850</v>
      </c>
      <c r="D87" s="30">
        <v>0.58333333333333337</v>
      </c>
      <c r="E87" s="35" t="s">
        <v>481</v>
      </c>
      <c r="F87" s="3" t="s">
        <v>32</v>
      </c>
      <c r="G87" s="3" t="s">
        <v>24</v>
      </c>
      <c r="H87" s="8" t="s">
        <v>55</v>
      </c>
      <c r="I87" s="8" t="str">
        <f>VLOOKUP(A87,'[1]Data-Upd'!$A:$G,7,FALSE)</f>
        <v>Online</v>
      </c>
      <c r="J87" s="1" t="s">
        <v>482</v>
      </c>
      <c r="K87" s="16" t="s">
        <v>483</v>
      </c>
      <c r="L87" s="12">
        <v>45850.590277777781</v>
      </c>
      <c r="M87" s="8" t="s">
        <v>331</v>
      </c>
      <c r="N87" s="8"/>
      <c r="O87" s="8" t="s">
        <v>484</v>
      </c>
      <c r="P87" s="8" t="s">
        <v>219</v>
      </c>
      <c r="Q87" s="46" t="s">
        <v>485</v>
      </c>
      <c r="R87" s="46" t="s">
        <v>430</v>
      </c>
      <c r="S87" s="46">
        <v>0</v>
      </c>
      <c r="T87" s="46">
        <v>0</v>
      </c>
      <c r="U87" s="46" t="s">
        <v>431</v>
      </c>
    </row>
    <row r="88" spans="1:21">
      <c r="A88" s="3" t="s">
        <v>486</v>
      </c>
      <c r="B88" s="4"/>
      <c r="C88" s="29">
        <v>45851</v>
      </c>
      <c r="D88" s="30">
        <v>0.49305555555555558</v>
      </c>
      <c r="E88" s="8" t="s">
        <v>487</v>
      </c>
      <c r="F88" s="3" t="s">
        <v>32</v>
      </c>
      <c r="G88" s="3" t="s">
        <v>24</v>
      </c>
      <c r="H88" s="8" t="s">
        <v>198</v>
      </c>
      <c r="I88" s="8" t="str">
        <f>VLOOKUP(A88,'[1]Data-Upd'!$A:$G,7,FALSE)</f>
        <v>HR</v>
      </c>
      <c r="J88" s="1" t="s">
        <v>488</v>
      </c>
      <c r="K88" s="16" t="s">
        <v>489</v>
      </c>
      <c r="L88" s="12">
        <v>45852.427083333336</v>
      </c>
      <c r="M88" s="8" t="s">
        <v>349</v>
      </c>
      <c r="N88" s="8"/>
      <c r="O88" s="8" t="s">
        <v>490</v>
      </c>
      <c r="P88" s="8" t="s">
        <v>219</v>
      </c>
      <c r="Q88" s="46" t="s">
        <v>491</v>
      </c>
      <c r="R88" s="46" t="s">
        <v>440</v>
      </c>
      <c r="S88" s="46">
        <v>0</v>
      </c>
      <c r="T88" s="46">
        <v>0</v>
      </c>
      <c r="U88" s="46" t="s">
        <v>492</v>
      </c>
    </row>
    <row r="89" spans="1:21">
      <c r="A89" s="3" t="s">
        <v>493</v>
      </c>
      <c r="B89" s="4"/>
      <c r="C89" s="29">
        <v>45852</v>
      </c>
      <c r="D89" s="30">
        <v>0.29166666666666669</v>
      </c>
      <c r="E89" s="8" t="s">
        <v>494</v>
      </c>
      <c r="F89" s="3" t="s">
        <v>23</v>
      </c>
      <c r="G89" s="3" t="s">
        <v>24</v>
      </c>
      <c r="H89" s="8" t="s">
        <v>103</v>
      </c>
      <c r="I89" s="8" t="str">
        <f>VLOOKUP(A89,'[1]Data-Upd'!$A:$G,7,FALSE)</f>
        <v>Supply Chain</v>
      </c>
      <c r="J89" s="1" t="s">
        <v>495</v>
      </c>
      <c r="K89" s="16" t="s">
        <v>496</v>
      </c>
      <c r="L89" s="12">
        <v>45852.677777777775</v>
      </c>
      <c r="M89" s="4" t="s">
        <v>497</v>
      </c>
      <c r="N89" s="8"/>
      <c r="O89" s="8" t="s">
        <v>498</v>
      </c>
      <c r="P89" s="8" t="s">
        <v>219</v>
      </c>
      <c r="Q89" s="46" t="s">
        <v>499</v>
      </c>
      <c r="R89" s="46" t="s">
        <v>440</v>
      </c>
      <c r="S89" s="46" t="s">
        <v>440</v>
      </c>
      <c r="T89" s="46" t="s">
        <v>440</v>
      </c>
      <c r="U89" s="46" t="s">
        <v>500</v>
      </c>
    </row>
    <row r="90" spans="1:21">
      <c r="A90" s="3" t="s">
        <v>501</v>
      </c>
      <c r="B90" s="4"/>
      <c r="C90" s="29">
        <v>45853</v>
      </c>
      <c r="D90" s="30">
        <v>0.82986111111111116</v>
      </c>
      <c r="E90" s="8" t="s">
        <v>502</v>
      </c>
      <c r="F90" s="3" t="s">
        <v>32</v>
      </c>
      <c r="G90" s="3" t="s">
        <v>24</v>
      </c>
      <c r="H90" s="8" t="s">
        <v>25</v>
      </c>
      <c r="I90" s="8" t="str">
        <f>VLOOKUP(A90,'[1]Data-Upd'!$A:$G,7,FALSE)</f>
        <v>Stores</v>
      </c>
      <c r="J90" s="1" t="s">
        <v>503</v>
      </c>
      <c r="K90" s="16" t="s">
        <v>504</v>
      </c>
      <c r="L90" s="12">
        <v>45859.5</v>
      </c>
      <c r="M90" s="8" t="s">
        <v>28</v>
      </c>
      <c r="N90" s="8"/>
      <c r="O90" s="8" t="s">
        <v>43</v>
      </c>
      <c r="P90" s="8" t="s">
        <v>213</v>
      </c>
      <c r="Q90" s="46" t="s">
        <v>505</v>
      </c>
      <c r="R90" s="46" t="s">
        <v>440</v>
      </c>
      <c r="S90" s="46">
        <v>0</v>
      </c>
      <c r="T90" s="46">
        <v>0</v>
      </c>
      <c r="U90" s="46" t="s">
        <v>506</v>
      </c>
    </row>
    <row r="91" spans="1:21">
      <c r="A91" s="3" t="s">
        <v>507</v>
      </c>
      <c r="B91" s="4"/>
      <c r="C91" s="29">
        <v>45854</v>
      </c>
      <c r="D91" s="30">
        <v>0.35069444444444442</v>
      </c>
      <c r="E91" s="8" t="s">
        <v>508</v>
      </c>
      <c r="F91" s="3" t="s">
        <v>23</v>
      </c>
      <c r="G91" s="3" t="s">
        <v>24</v>
      </c>
      <c r="H91" s="8" t="s">
        <v>103</v>
      </c>
      <c r="I91" s="8" t="str">
        <f>VLOOKUP(A91,'[1]Data-Upd'!$A:$G,7,FALSE)</f>
        <v>Supply Chain</v>
      </c>
      <c r="J91" s="1" t="s">
        <v>509</v>
      </c>
      <c r="K91" s="16" t="s">
        <v>510</v>
      </c>
      <c r="L91" s="12">
        <v>45854.625</v>
      </c>
      <c r="M91" s="4" t="s">
        <v>497</v>
      </c>
      <c r="N91" s="8"/>
      <c r="O91" s="8" t="s">
        <v>138</v>
      </c>
      <c r="P91" s="8" t="s">
        <v>219</v>
      </c>
      <c r="Q91" s="46" t="s">
        <v>499</v>
      </c>
      <c r="R91" s="46" t="s">
        <v>440</v>
      </c>
      <c r="S91" s="46" t="s">
        <v>440</v>
      </c>
      <c r="T91" s="46" t="s">
        <v>440</v>
      </c>
      <c r="U91" s="46" t="s">
        <v>500</v>
      </c>
    </row>
    <row r="92" spans="1:21">
      <c r="A92" s="3" t="s">
        <v>511</v>
      </c>
      <c r="B92" s="4"/>
      <c r="C92" s="29">
        <v>45854</v>
      </c>
      <c r="D92" s="30">
        <v>0.4826388888888889</v>
      </c>
      <c r="E92" s="8" t="s">
        <v>512</v>
      </c>
      <c r="F92" s="3" t="s">
        <v>32</v>
      </c>
      <c r="G92" s="3" t="s">
        <v>513</v>
      </c>
      <c r="H92" s="8" t="s">
        <v>103</v>
      </c>
      <c r="I92" s="8" t="s">
        <v>103</v>
      </c>
      <c r="J92" s="1" t="s">
        <v>514</v>
      </c>
      <c r="K92" s="16" t="s">
        <v>515</v>
      </c>
      <c r="L92" s="7"/>
      <c r="M92" s="8" t="s">
        <v>513</v>
      </c>
      <c r="N92" s="8"/>
      <c r="O92" s="8" t="s">
        <v>129</v>
      </c>
      <c r="P92" s="8" t="s">
        <v>213</v>
      </c>
      <c r="Q92" s="46" t="e">
        <v>#N/A</v>
      </c>
      <c r="R92" s="46" t="e">
        <v>#N/A</v>
      </c>
      <c r="S92" s="46" t="e">
        <v>#N/A</v>
      </c>
      <c r="T92" s="46" t="e">
        <v>#N/A</v>
      </c>
      <c r="U92" s="46" t="e">
        <v>#N/A</v>
      </c>
    </row>
    <row r="93" spans="1:21">
      <c r="A93" s="3" t="s">
        <v>516</v>
      </c>
      <c r="B93" s="4"/>
      <c r="C93" s="29">
        <v>45856</v>
      </c>
      <c r="D93" s="30">
        <v>0.50624999999999998</v>
      </c>
      <c r="E93" s="8" t="s">
        <v>517</v>
      </c>
      <c r="F93" s="3" t="s">
        <v>23</v>
      </c>
      <c r="G93" s="3" t="s">
        <v>24</v>
      </c>
      <c r="H93" s="8" t="s">
        <v>518</v>
      </c>
      <c r="I93" s="8" t="str">
        <f>VLOOKUP(A93,'[1]Data-Upd'!$A:$G,7,FALSE)</f>
        <v>Finance</v>
      </c>
      <c r="J93" s="1" t="s">
        <v>519</v>
      </c>
      <c r="K93" s="16" t="s">
        <v>520</v>
      </c>
      <c r="L93" s="12">
        <v>45859.458333333336</v>
      </c>
      <c r="M93" s="8" t="s">
        <v>28</v>
      </c>
      <c r="N93" s="8"/>
      <c r="O93" s="8" t="s">
        <v>521</v>
      </c>
      <c r="P93" s="8" t="s">
        <v>213</v>
      </c>
      <c r="Q93" s="46" t="s">
        <v>522</v>
      </c>
      <c r="R93" s="46" t="s">
        <v>440</v>
      </c>
      <c r="S93" s="46" t="s">
        <v>440</v>
      </c>
      <c r="T93" s="46" t="s">
        <v>440</v>
      </c>
      <c r="U93" s="46" t="s">
        <v>431</v>
      </c>
    </row>
    <row r="94" spans="1:21">
      <c r="A94" s="3" t="s">
        <v>523</v>
      </c>
      <c r="B94" s="4"/>
      <c r="C94" s="29">
        <v>45858</v>
      </c>
      <c r="D94" s="30">
        <v>0.10416666666666667</v>
      </c>
      <c r="E94" s="8" t="s">
        <v>524</v>
      </c>
      <c r="F94" s="3" t="s">
        <v>23</v>
      </c>
      <c r="G94" s="3" t="s">
        <v>24</v>
      </c>
      <c r="H94" s="8" t="s">
        <v>103</v>
      </c>
      <c r="I94" s="8" t="str">
        <f>VLOOKUP(A94,'[1]Data-Upd'!$A:$G,7,FALSE)</f>
        <v>Supply Chain</v>
      </c>
      <c r="J94" s="1" t="s">
        <v>525</v>
      </c>
      <c r="K94" s="16" t="s">
        <v>526</v>
      </c>
      <c r="L94" s="12">
        <v>45859.458333333336</v>
      </c>
      <c r="M94" s="8" t="s">
        <v>271</v>
      </c>
      <c r="N94" s="8"/>
      <c r="O94" s="8" t="s">
        <v>129</v>
      </c>
      <c r="P94" s="8" t="s">
        <v>219</v>
      </c>
      <c r="Q94" s="46" t="s">
        <v>527</v>
      </c>
      <c r="R94" s="46" t="s">
        <v>440</v>
      </c>
      <c r="S94" s="46" t="s">
        <v>440</v>
      </c>
      <c r="T94" s="46">
        <v>0</v>
      </c>
      <c r="U94" s="46" t="s">
        <v>492</v>
      </c>
    </row>
    <row r="95" spans="1:21">
      <c r="A95" s="3" t="s">
        <v>528</v>
      </c>
      <c r="B95" s="4"/>
      <c r="C95" s="29">
        <v>45859</v>
      </c>
      <c r="D95" s="30">
        <v>0.3611111111111111</v>
      </c>
      <c r="E95" s="8" t="s">
        <v>529</v>
      </c>
      <c r="F95" s="3" t="s">
        <v>23</v>
      </c>
      <c r="G95" s="3" t="s">
        <v>24</v>
      </c>
      <c r="H95" s="8" t="s">
        <v>25</v>
      </c>
      <c r="I95" s="8" t="str">
        <f>VLOOKUP(A95,'[1]Data-Upd'!$A:$G,7,FALSE)</f>
        <v>Stores</v>
      </c>
      <c r="J95" s="1" t="s">
        <v>530</v>
      </c>
      <c r="K95" s="16" t="s">
        <v>531</v>
      </c>
      <c r="L95" s="12">
        <v>45859.6875</v>
      </c>
      <c r="M95" s="8" t="s">
        <v>28</v>
      </c>
      <c r="N95" s="8"/>
      <c r="O95" s="8" t="s">
        <v>367</v>
      </c>
      <c r="P95" s="8" t="s">
        <v>219</v>
      </c>
      <c r="Q95" s="46" t="s">
        <v>532</v>
      </c>
      <c r="R95" s="46" t="s">
        <v>430</v>
      </c>
      <c r="S95" s="46">
        <v>0</v>
      </c>
      <c r="T95" s="46">
        <v>0</v>
      </c>
      <c r="U95" s="46" t="s">
        <v>492</v>
      </c>
    </row>
    <row r="96" spans="1:21">
      <c r="A96" s="3" t="s">
        <v>533</v>
      </c>
      <c r="B96" s="4"/>
      <c r="C96" s="29">
        <v>45859</v>
      </c>
      <c r="D96" s="30">
        <v>0.41319444444444442</v>
      </c>
      <c r="E96" s="8" t="s">
        <v>534</v>
      </c>
      <c r="F96" s="3" t="s">
        <v>32</v>
      </c>
      <c r="G96" s="3" t="s">
        <v>24</v>
      </c>
      <c r="H96" s="8" t="s">
        <v>103</v>
      </c>
      <c r="I96" s="8" t="str">
        <f>VLOOKUP(A96,'[1]Data-Upd'!$A:$G,7,FALSE)</f>
        <v>Supply Chain</v>
      </c>
      <c r="J96" s="1" t="s">
        <v>535</v>
      </c>
      <c r="K96" s="16" t="s">
        <v>536</v>
      </c>
      <c r="L96" s="12">
        <v>45860.666666666664</v>
      </c>
      <c r="M96" s="8" t="s">
        <v>537</v>
      </c>
      <c r="N96" s="8"/>
      <c r="O96" s="8" t="s">
        <v>129</v>
      </c>
      <c r="P96" s="8" t="s">
        <v>219</v>
      </c>
      <c r="Q96" s="46" t="s">
        <v>538</v>
      </c>
      <c r="R96" s="46" t="s">
        <v>440</v>
      </c>
      <c r="S96" s="46" t="s">
        <v>430</v>
      </c>
      <c r="T96" s="46" t="s">
        <v>448</v>
      </c>
      <c r="U96" s="46" t="s">
        <v>539</v>
      </c>
    </row>
    <row r="97" spans="1:21">
      <c r="A97" s="3" t="s">
        <v>540</v>
      </c>
      <c r="B97" s="4"/>
      <c r="C97" s="29">
        <v>45859</v>
      </c>
      <c r="D97" s="30">
        <v>0.46597222222222223</v>
      </c>
      <c r="E97" s="8" t="s">
        <v>541</v>
      </c>
      <c r="F97" s="3" t="s">
        <v>32</v>
      </c>
      <c r="G97" s="3" t="s">
        <v>24</v>
      </c>
      <c r="H97" s="8" t="s">
        <v>340</v>
      </c>
      <c r="I97" s="8" t="str">
        <f>VLOOKUP(A97,'[1]Data-Upd'!$A:$G,7,FALSE)</f>
        <v>Loyalty</v>
      </c>
      <c r="J97" s="1" t="s">
        <v>542</v>
      </c>
      <c r="K97" s="33" t="s">
        <v>543</v>
      </c>
      <c r="L97" s="12">
        <v>45878.680555555555</v>
      </c>
      <c r="M97" s="8" t="s">
        <v>28</v>
      </c>
      <c r="N97" s="8" t="s">
        <v>544</v>
      </c>
      <c r="O97" s="8" t="s">
        <v>398</v>
      </c>
      <c r="P97" s="8" t="s">
        <v>213</v>
      </c>
      <c r="Q97" s="46" t="s">
        <v>545</v>
      </c>
      <c r="R97" s="46" t="s">
        <v>440</v>
      </c>
      <c r="S97" s="46">
        <v>0</v>
      </c>
      <c r="T97" s="46">
        <v>0</v>
      </c>
      <c r="U97" s="46" t="s">
        <v>506</v>
      </c>
    </row>
    <row r="98" spans="1:21">
      <c r="A98" s="3" t="s">
        <v>546</v>
      </c>
      <c r="B98" s="4"/>
      <c r="C98" s="29">
        <v>45860</v>
      </c>
      <c r="D98" s="30">
        <v>0.43055555555555558</v>
      </c>
      <c r="E98" s="8" t="s">
        <v>547</v>
      </c>
      <c r="F98" s="3" t="s">
        <v>23</v>
      </c>
      <c r="G98" s="3" t="s">
        <v>24</v>
      </c>
      <c r="H98" s="8" t="s">
        <v>103</v>
      </c>
      <c r="I98" s="8" t="str">
        <f>VLOOKUP(A98,'[1]Data-Upd'!$A:$G,7,FALSE)</f>
        <v>Supply Chain</v>
      </c>
      <c r="J98" s="1" t="s">
        <v>548</v>
      </c>
      <c r="K98" s="16" t="s">
        <v>549</v>
      </c>
      <c r="L98" s="12">
        <v>45860.5625</v>
      </c>
      <c r="M98" s="8" t="s">
        <v>550</v>
      </c>
      <c r="N98" s="8"/>
      <c r="O98" s="8" t="s">
        <v>551</v>
      </c>
      <c r="P98" s="8" t="s">
        <v>219</v>
      </c>
      <c r="Q98" s="46" t="s">
        <v>552</v>
      </c>
      <c r="R98" s="46" t="s">
        <v>440</v>
      </c>
      <c r="S98" s="46" t="s">
        <v>430</v>
      </c>
      <c r="T98" s="46" t="s">
        <v>430</v>
      </c>
      <c r="U98" s="46" t="s">
        <v>457</v>
      </c>
    </row>
    <row r="99" spans="1:21">
      <c r="A99" s="3" t="s">
        <v>553</v>
      </c>
      <c r="B99" s="4"/>
      <c r="C99" s="29">
        <v>45861</v>
      </c>
      <c r="D99" s="30">
        <v>0.68194444444444446</v>
      </c>
      <c r="E99" s="8" t="s">
        <v>554</v>
      </c>
      <c r="F99" s="3" t="s">
        <v>23</v>
      </c>
      <c r="G99" s="3" t="s">
        <v>24</v>
      </c>
      <c r="H99" s="8" t="s">
        <v>103</v>
      </c>
      <c r="I99" s="8" t="str">
        <f>VLOOKUP(A99,'[1]Data-Upd'!$A:$G,7,FALSE)</f>
        <v>Supply Chain</v>
      </c>
      <c r="J99" s="1" t="s">
        <v>555</v>
      </c>
      <c r="K99" s="16" t="s">
        <v>556</v>
      </c>
      <c r="L99" s="12">
        <v>45862.458333333336</v>
      </c>
      <c r="M99" s="4" t="s">
        <v>497</v>
      </c>
      <c r="N99" s="8"/>
      <c r="O99" s="34" t="s">
        <v>138</v>
      </c>
      <c r="P99" s="8" t="s">
        <v>219</v>
      </c>
      <c r="Q99" s="46" t="s">
        <v>557</v>
      </c>
      <c r="R99" s="46" t="s">
        <v>440</v>
      </c>
      <c r="S99" s="46" t="s">
        <v>430</v>
      </c>
      <c r="T99" s="46" t="s">
        <v>440</v>
      </c>
      <c r="U99" s="46" t="s">
        <v>506</v>
      </c>
    </row>
    <row r="100" spans="1:21">
      <c r="A100" s="3" t="s">
        <v>558</v>
      </c>
      <c r="B100" s="4"/>
      <c r="C100" s="29">
        <v>45863</v>
      </c>
      <c r="D100" s="30">
        <v>0.47222222222222221</v>
      </c>
      <c r="E100" s="8" t="s">
        <v>559</v>
      </c>
      <c r="F100" s="3" t="s">
        <v>32</v>
      </c>
      <c r="G100" s="3" t="s">
        <v>24</v>
      </c>
      <c r="H100" s="8" t="s">
        <v>103</v>
      </c>
      <c r="I100" s="8" t="str">
        <f>VLOOKUP(A100,'[1]Data-Upd'!$A:$G,7,FALSE)</f>
        <v>Supply Chain</v>
      </c>
      <c r="J100" s="1" t="s">
        <v>560</v>
      </c>
      <c r="K100" s="16" t="s">
        <v>561</v>
      </c>
      <c r="L100" s="12">
        <v>45867.694444444445</v>
      </c>
      <c r="M100" s="8" t="s">
        <v>28</v>
      </c>
      <c r="N100" s="8" t="s">
        <v>562</v>
      </c>
      <c r="O100" s="8" t="s">
        <v>563</v>
      </c>
      <c r="P100" s="8" t="s">
        <v>219</v>
      </c>
      <c r="Q100" s="46" t="s">
        <v>564</v>
      </c>
      <c r="R100" s="46" t="s">
        <v>440</v>
      </c>
      <c r="S100" s="46" t="s">
        <v>440</v>
      </c>
      <c r="T100" s="46">
        <v>0</v>
      </c>
      <c r="U100" s="46" t="s">
        <v>506</v>
      </c>
    </row>
    <row r="101" spans="1:21">
      <c r="A101" s="3" t="s">
        <v>565</v>
      </c>
      <c r="B101" s="4"/>
      <c r="C101" s="29">
        <v>45866</v>
      </c>
      <c r="D101" s="30">
        <v>0.70833333333333337</v>
      </c>
      <c r="E101" s="8" t="s">
        <v>566</v>
      </c>
      <c r="F101" s="3" t="s">
        <v>32</v>
      </c>
      <c r="G101" s="3" t="s">
        <v>24</v>
      </c>
      <c r="H101" s="8" t="s">
        <v>198</v>
      </c>
      <c r="I101" s="8" t="str">
        <f>VLOOKUP(A101,'[1]Data-Upd'!$A:$G,7,FALSE)</f>
        <v>HR</v>
      </c>
      <c r="J101" s="1" t="s">
        <v>567</v>
      </c>
      <c r="K101" s="16" t="s">
        <v>568</v>
      </c>
      <c r="L101" s="11">
        <v>45867.541666666664</v>
      </c>
      <c r="M101" s="8" t="s">
        <v>569</v>
      </c>
      <c r="N101" s="8"/>
      <c r="O101" s="8" t="s">
        <v>490</v>
      </c>
      <c r="P101" s="8" t="s">
        <v>213</v>
      </c>
      <c r="Q101" s="46" t="s">
        <v>570</v>
      </c>
      <c r="R101" s="46" t="s">
        <v>440</v>
      </c>
      <c r="S101" s="46" t="s">
        <v>430</v>
      </c>
      <c r="T101" s="46" t="s">
        <v>571</v>
      </c>
      <c r="U101" s="46" t="s">
        <v>539</v>
      </c>
    </row>
    <row r="102" spans="1:21">
      <c r="A102" s="3" t="s">
        <v>572</v>
      </c>
      <c r="B102" s="4"/>
      <c r="C102" s="29">
        <v>45867</v>
      </c>
      <c r="D102" s="30">
        <v>0.37222222222222223</v>
      </c>
      <c r="E102" s="8" t="s">
        <v>573</v>
      </c>
      <c r="F102" s="3" t="s">
        <v>23</v>
      </c>
      <c r="G102" s="3" t="s">
        <v>24</v>
      </c>
      <c r="H102" s="8" t="s">
        <v>25</v>
      </c>
      <c r="I102" s="8" t="str">
        <f>VLOOKUP(A102,'[1]Data-Upd'!$A:$G,7,FALSE)</f>
        <v>Stores</v>
      </c>
      <c r="J102" s="1" t="s">
        <v>574</v>
      </c>
      <c r="K102" s="16" t="s">
        <v>575</v>
      </c>
      <c r="L102" s="11">
        <v>45868.541666666664</v>
      </c>
      <c r="M102" s="8" t="s">
        <v>28</v>
      </c>
      <c r="N102" s="8" t="s">
        <v>576</v>
      </c>
      <c r="O102" s="8" t="s">
        <v>43</v>
      </c>
      <c r="P102" s="8" t="s">
        <v>213</v>
      </c>
      <c r="Q102" s="46" t="s">
        <v>577</v>
      </c>
      <c r="R102" s="46" t="s">
        <v>440</v>
      </c>
      <c r="S102" s="46">
        <v>0</v>
      </c>
      <c r="T102" s="46">
        <v>0</v>
      </c>
      <c r="U102" s="46" t="s">
        <v>431</v>
      </c>
    </row>
    <row r="103" spans="1:21">
      <c r="A103" s="36" t="s">
        <v>578</v>
      </c>
      <c r="B103" s="4"/>
      <c r="C103" s="37">
        <v>45867</v>
      </c>
      <c r="D103" s="30">
        <v>0.44444444444444442</v>
      </c>
      <c r="E103" s="8" t="s">
        <v>579</v>
      </c>
      <c r="F103" s="3" t="s">
        <v>32</v>
      </c>
      <c r="G103" s="3" t="s">
        <v>24</v>
      </c>
      <c r="H103" s="8" t="s">
        <v>55</v>
      </c>
      <c r="I103" s="8" t="str">
        <f>VLOOKUP(A103,'[1]Data-Upd'!$A:$G,7,FALSE)</f>
        <v>Online</v>
      </c>
      <c r="J103" s="1" t="s">
        <v>580</v>
      </c>
      <c r="K103" s="16" t="s">
        <v>581</v>
      </c>
      <c r="L103" s="11">
        <v>45867.597222222219</v>
      </c>
      <c r="M103" s="8" t="s">
        <v>582</v>
      </c>
      <c r="N103" s="8"/>
      <c r="O103" s="8" t="s">
        <v>583</v>
      </c>
      <c r="P103" s="8" t="s">
        <v>219</v>
      </c>
      <c r="Q103" s="46" t="s">
        <v>584</v>
      </c>
      <c r="R103" s="46" t="s">
        <v>440</v>
      </c>
      <c r="S103" s="46">
        <v>0</v>
      </c>
      <c r="T103" s="46">
        <v>0</v>
      </c>
      <c r="U103" s="46" t="s">
        <v>431</v>
      </c>
    </row>
    <row r="104" spans="1:21">
      <c r="A104" s="36" t="s">
        <v>585</v>
      </c>
      <c r="B104" s="4"/>
      <c r="C104" s="29">
        <v>45867</v>
      </c>
      <c r="D104" s="30">
        <v>0.49305555555555558</v>
      </c>
      <c r="E104" s="8" t="s">
        <v>586</v>
      </c>
      <c r="F104" s="3" t="s">
        <v>32</v>
      </c>
      <c r="G104" s="3" t="s">
        <v>24</v>
      </c>
      <c r="H104" s="8" t="s">
        <v>198</v>
      </c>
      <c r="I104" s="8" t="str">
        <f>VLOOKUP(A104,'[1]Data-Upd'!$A:$G,7,FALSE)</f>
        <v>HR</v>
      </c>
      <c r="J104" s="1" t="s">
        <v>587</v>
      </c>
      <c r="K104" s="16" t="s">
        <v>588</v>
      </c>
      <c r="L104" s="11">
        <v>45868.5</v>
      </c>
      <c r="M104" s="8" t="s">
        <v>198</v>
      </c>
      <c r="N104" s="8"/>
      <c r="O104" s="8" t="s">
        <v>490</v>
      </c>
      <c r="P104" s="8" t="s">
        <v>219</v>
      </c>
      <c r="Q104" s="46" t="s">
        <v>589</v>
      </c>
      <c r="R104" s="46" t="s">
        <v>440</v>
      </c>
      <c r="S104" s="46">
        <v>0</v>
      </c>
      <c r="T104" s="46">
        <v>0</v>
      </c>
      <c r="U104" s="46" t="s">
        <v>479</v>
      </c>
    </row>
    <row r="105" spans="1:21">
      <c r="A105" s="36" t="s">
        <v>590</v>
      </c>
      <c r="B105" s="4"/>
      <c r="C105" s="37">
        <v>45867</v>
      </c>
      <c r="D105" s="38">
        <v>0.54166666666666663</v>
      </c>
      <c r="E105" s="8" t="s">
        <v>591</v>
      </c>
      <c r="F105" s="3" t="s">
        <v>32</v>
      </c>
      <c r="G105" s="3" t="s">
        <v>24</v>
      </c>
      <c r="H105" s="8" t="s">
        <v>55</v>
      </c>
      <c r="I105" s="8" t="str">
        <f>VLOOKUP(A105,'[1]Data-Upd'!$A:$G,7,FALSE)</f>
        <v>Online</v>
      </c>
      <c r="J105" s="1" t="s">
        <v>592</v>
      </c>
      <c r="K105" s="16" t="s">
        <v>593</v>
      </c>
      <c r="L105" s="11">
        <v>45868.5</v>
      </c>
      <c r="M105" s="8" t="s">
        <v>594</v>
      </c>
      <c r="N105" s="8"/>
      <c r="O105" s="8" t="s">
        <v>595</v>
      </c>
      <c r="P105" s="8" t="s">
        <v>219</v>
      </c>
      <c r="Q105" s="46" t="s">
        <v>596</v>
      </c>
      <c r="R105" s="46" t="s">
        <v>440</v>
      </c>
      <c r="S105" s="46">
        <v>0</v>
      </c>
      <c r="T105" s="46">
        <v>0</v>
      </c>
      <c r="U105" s="46" t="s">
        <v>479</v>
      </c>
    </row>
    <row r="106" spans="1:21">
      <c r="A106" s="36" t="s">
        <v>597</v>
      </c>
      <c r="B106" s="4"/>
      <c r="C106" s="29">
        <v>45868</v>
      </c>
      <c r="D106" s="30">
        <v>0.47430555555555554</v>
      </c>
      <c r="E106" s="14" t="s">
        <v>598</v>
      </c>
      <c r="F106" s="3" t="s">
        <v>32</v>
      </c>
      <c r="G106" s="3" t="s">
        <v>24</v>
      </c>
      <c r="H106" s="8" t="s">
        <v>55</v>
      </c>
      <c r="I106" s="8" t="str">
        <f>VLOOKUP(A106,'[1]Data-Upd'!$A:$G,7,FALSE)</f>
        <v>Online</v>
      </c>
      <c r="J106" s="2" t="s">
        <v>599</v>
      </c>
      <c r="K106" s="16" t="s">
        <v>600</v>
      </c>
      <c r="L106" s="11">
        <v>45870.708333333336</v>
      </c>
      <c r="M106" s="8" t="s">
        <v>601</v>
      </c>
      <c r="N106" s="8"/>
      <c r="O106" s="8" t="s">
        <v>367</v>
      </c>
      <c r="P106" s="8" t="s">
        <v>219</v>
      </c>
      <c r="Q106" s="46" t="s">
        <v>602</v>
      </c>
      <c r="R106" s="46" t="s">
        <v>440</v>
      </c>
      <c r="S106" s="46">
        <v>0</v>
      </c>
      <c r="T106" s="46">
        <v>0</v>
      </c>
      <c r="U106" s="46" t="s">
        <v>539</v>
      </c>
    </row>
    <row r="107" spans="1:21">
      <c r="A107" s="36" t="s">
        <v>603</v>
      </c>
      <c r="B107" s="4"/>
      <c r="C107" s="29">
        <v>45868</v>
      </c>
      <c r="D107" s="30">
        <v>0.85138888888888886</v>
      </c>
      <c r="E107" s="8" t="s">
        <v>604</v>
      </c>
      <c r="F107" s="3" t="s">
        <v>23</v>
      </c>
      <c r="G107" s="3" t="s">
        <v>24</v>
      </c>
      <c r="H107" s="8" t="s">
        <v>103</v>
      </c>
      <c r="I107" s="8" t="str">
        <f>VLOOKUP(A107,'[1]Data-Upd'!$A:$G,7,FALSE)</f>
        <v>Supply Chain</v>
      </c>
      <c r="J107" s="1" t="s">
        <v>605</v>
      </c>
      <c r="K107" s="16" t="s">
        <v>606</v>
      </c>
      <c r="L107" s="11">
        <v>45869.70208333333</v>
      </c>
      <c r="M107" s="8" t="s">
        <v>607</v>
      </c>
      <c r="N107" s="8"/>
      <c r="O107" s="8" t="s">
        <v>129</v>
      </c>
      <c r="P107" s="8" t="s">
        <v>219</v>
      </c>
      <c r="Q107" s="46" t="s">
        <v>608</v>
      </c>
      <c r="R107" s="46" t="s">
        <v>440</v>
      </c>
      <c r="S107" s="46" t="s">
        <v>430</v>
      </c>
      <c r="T107" s="46" t="s">
        <v>440</v>
      </c>
      <c r="U107" s="46" t="s">
        <v>609</v>
      </c>
    </row>
    <row r="108" spans="1:21">
      <c r="A108" s="40" t="s">
        <v>610</v>
      </c>
      <c r="B108" s="4"/>
      <c r="C108" s="29">
        <v>45869</v>
      </c>
      <c r="D108" s="30">
        <v>0.3263888888888889</v>
      </c>
      <c r="E108" s="14" t="s">
        <v>611</v>
      </c>
      <c r="F108" s="26" t="s">
        <v>23</v>
      </c>
      <c r="G108" s="3" t="s">
        <v>24</v>
      </c>
      <c r="H108" s="14" t="s">
        <v>103</v>
      </c>
      <c r="I108" s="8" t="str">
        <f>VLOOKUP(A108,'[1]Data-Upd'!$A:$G,7,FALSE)</f>
        <v>Supply Chain</v>
      </c>
      <c r="J108" s="2" t="s">
        <v>612</v>
      </c>
      <c r="K108" s="39" t="s">
        <v>613</v>
      </c>
      <c r="L108" s="11">
        <v>45870.458333333336</v>
      </c>
      <c r="M108" s="8" t="s">
        <v>550</v>
      </c>
      <c r="N108" s="14"/>
      <c r="O108" s="14" t="s">
        <v>614</v>
      </c>
      <c r="P108" s="8" t="s">
        <v>219</v>
      </c>
      <c r="Q108" s="46" t="s">
        <v>615</v>
      </c>
      <c r="R108" s="46" t="s">
        <v>440</v>
      </c>
      <c r="S108" s="46" t="s">
        <v>430</v>
      </c>
      <c r="T108" s="46" t="s">
        <v>430</v>
      </c>
      <c r="U108" s="46" t="s">
        <v>457</v>
      </c>
    </row>
    <row r="109" spans="1:21">
      <c r="A109" s="40" t="s">
        <v>616</v>
      </c>
      <c r="B109" s="4"/>
      <c r="C109" s="37">
        <v>45873</v>
      </c>
      <c r="D109" s="38">
        <v>0.65694444444444444</v>
      </c>
      <c r="E109" s="14" t="s">
        <v>617</v>
      </c>
      <c r="F109" s="26" t="s">
        <v>32</v>
      </c>
      <c r="G109" s="3" t="s">
        <v>24</v>
      </c>
      <c r="H109" s="14" t="s">
        <v>518</v>
      </c>
      <c r="I109" s="8" t="str">
        <f>VLOOKUP(A109,'[1]Data-Upd'!$A:$G,7,FALSE)</f>
        <v>Finance</v>
      </c>
      <c r="J109" s="1" t="s">
        <v>618</v>
      </c>
      <c r="K109" s="33" t="s">
        <v>619</v>
      </c>
      <c r="L109" s="11">
        <v>45873.708333333336</v>
      </c>
      <c r="M109" s="8" t="s">
        <v>28</v>
      </c>
      <c r="N109" s="14"/>
      <c r="O109" s="14" t="s">
        <v>620</v>
      </c>
      <c r="P109" s="1" t="s">
        <v>213</v>
      </c>
      <c r="Q109" s="46" t="s">
        <v>570</v>
      </c>
      <c r="R109" s="46" t="s">
        <v>440</v>
      </c>
      <c r="S109" s="46" t="s">
        <v>440</v>
      </c>
      <c r="T109" s="46" t="s">
        <v>440</v>
      </c>
      <c r="U109" s="46" t="s">
        <v>506</v>
      </c>
    </row>
    <row r="110" spans="1:21">
      <c r="A110" s="36" t="s">
        <v>621</v>
      </c>
      <c r="B110" s="4" t="s">
        <v>622</v>
      </c>
      <c r="C110" s="29">
        <v>45873</v>
      </c>
      <c r="D110" s="30">
        <v>0.70208333333333328</v>
      </c>
      <c r="E110" s="8" t="s">
        <v>623</v>
      </c>
      <c r="F110" s="3" t="s">
        <v>23</v>
      </c>
      <c r="G110" s="3" t="s">
        <v>24</v>
      </c>
      <c r="H110" s="8" t="s">
        <v>103</v>
      </c>
      <c r="I110" s="8" t="str">
        <f>VLOOKUP(A110,'[1]Data-Upd'!$A:$G,7,FALSE)</f>
        <v>Supply Chain</v>
      </c>
      <c r="J110" s="2" t="s">
        <v>624</v>
      </c>
      <c r="K110" s="23" t="s">
        <v>625</v>
      </c>
      <c r="L110" s="11">
        <v>45874.395833333336</v>
      </c>
      <c r="M110" s="8" t="s">
        <v>626</v>
      </c>
      <c r="N110" s="8"/>
      <c r="O110" s="8" t="s">
        <v>627</v>
      </c>
      <c r="P110" s="1" t="s">
        <v>219</v>
      </c>
      <c r="Q110" s="46" t="s">
        <v>628</v>
      </c>
      <c r="R110" s="46" t="s">
        <v>440</v>
      </c>
      <c r="S110" s="46" t="s">
        <v>440</v>
      </c>
      <c r="T110" s="46">
        <v>0</v>
      </c>
      <c r="U110" s="46" t="s">
        <v>431</v>
      </c>
    </row>
    <row r="111" spans="1:21">
      <c r="A111" s="36" t="s">
        <v>629</v>
      </c>
      <c r="B111" s="4"/>
      <c r="C111" s="37">
        <v>45874</v>
      </c>
      <c r="D111" s="38">
        <v>0.52916666666666667</v>
      </c>
      <c r="E111" s="8" t="s">
        <v>630</v>
      </c>
      <c r="F111" s="3" t="s">
        <v>32</v>
      </c>
      <c r="G111" s="3" t="s">
        <v>24</v>
      </c>
      <c r="H111" s="8" t="s">
        <v>384</v>
      </c>
      <c r="I111" s="8" t="str">
        <f>VLOOKUP(A111,'[1]Data-Upd'!$A:$G,7,FALSE)</f>
        <v>FH&amp;B</v>
      </c>
      <c r="J111" s="1" t="s">
        <v>631</v>
      </c>
      <c r="K111" s="23" t="s">
        <v>632</v>
      </c>
      <c r="L111" s="11">
        <v>45875.479166666664</v>
      </c>
      <c r="M111" s="8" t="s">
        <v>28</v>
      </c>
      <c r="N111" s="8" t="s">
        <v>633</v>
      </c>
      <c r="O111" s="8" t="s">
        <v>634</v>
      </c>
      <c r="P111" s="1" t="s">
        <v>213</v>
      </c>
      <c r="Q111" s="46" t="s">
        <v>635</v>
      </c>
      <c r="R111" s="46" t="s">
        <v>440</v>
      </c>
      <c r="S111" s="46">
        <v>0</v>
      </c>
      <c r="T111" s="46">
        <v>0</v>
      </c>
      <c r="U111" s="46" t="s">
        <v>464</v>
      </c>
    </row>
    <row r="112" spans="1:21">
      <c r="A112" s="36" t="s">
        <v>636</v>
      </c>
      <c r="B112" s="4"/>
      <c r="C112" s="29">
        <v>45875</v>
      </c>
      <c r="D112" s="30">
        <v>0.37708333333333333</v>
      </c>
      <c r="E112" s="8" t="s">
        <v>637</v>
      </c>
      <c r="F112" s="3" t="s">
        <v>32</v>
      </c>
      <c r="G112" s="3" t="s">
        <v>24</v>
      </c>
      <c r="H112" s="8" t="s">
        <v>55</v>
      </c>
      <c r="I112" s="8" t="str">
        <f>VLOOKUP(A112,'[1]Data-Upd'!$A:$G,7,FALSE)</f>
        <v>Online</v>
      </c>
      <c r="J112" s="1" t="s">
        <v>638</v>
      </c>
      <c r="K112" s="23" t="s">
        <v>639</v>
      </c>
      <c r="L112" s="11">
        <v>45875.513888888891</v>
      </c>
      <c r="M112" s="8" t="s">
        <v>640</v>
      </c>
      <c r="N112" s="8"/>
      <c r="O112" s="8" t="s">
        <v>312</v>
      </c>
      <c r="P112" s="1" t="s">
        <v>219</v>
      </c>
      <c r="Q112" s="46" t="s">
        <v>641</v>
      </c>
      <c r="R112" s="46" t="s">
        <v>440</v>
      </c>
      <c r="S112" s="46">
        <v>0</v>
      </c>
      <c r="T112" s="46">
        <v>0</v>
      </c>
      <c r="U112" s="46" t="s">
        <v>431</v>
      </c>
    </row>
    <row r="113" spans="1:21">
      <c r="A113" s="36" t="s">
        <v>642</v>
      </c>
      <c r="B113" s="4"/>
      <c r="C113" s="29">
        <v>45876</v>
      </c>
      <c r="D113" s="30">
        <v>0.39583333333333331</v>
      </c>
      <c r="E113" s="8" t="s">
        <v>643</v>
      </c>
      <c r="F113" s="3" t="s">
        <v>32</v>
      </c>
      <c r="G113" s="3" t="s">
        <v>24</v>
      </c>
      <c r="H113" s="8" t="s">
        <v>55</v>
      </c>
      <c r="I113" s="8" t="str">
        <f>VLOOKUP(A113,'[1]Data-Upd'!$A:$G,7,FALSE)</f>
        <v>Online</v>
      </c>
      <c r="J113" s="1" t="s">
        <v>644</v>
      </c>
      <c r="K113" s="23" t="s">
        <v>645</v>
      </c>
      <c r="L113" s="11">
        <v>45876.604166666664</v>
      </c>
      <c r="M113" s="4" t="s">
        <v>331</v>
      </c>
      <c r="N113" s="8"/>
      <c r="O113" s="8" t="s">
        <v>455</v>
      </c>
      <c r="P113" s="1" t="s">
        <v>219</v>
      </c>
      <c r="Q113" s="46" t="s">
        <v>646</v>
      </c>
      <c r="R113" s="46" t="s">
        <v>440</v>
      </c>
      <c r="S113" s="46" t="s">
        <v>430</v>
      </c>
      <c r="T113" s="46">
        <v>0</v>
      </c>
      <c r="U113" s="46" t="s">
        <v>647</v>
      </c>
    </row>
    <row r="114" spans="1:21">
      <c r="A114" s="36" t="s">
        <v>648</v>
      </c>
      <c r="B114" s="4" t="s">
        <v>649</v>
      </c>
      <c r="C114" s="29">
        <v>45876</v>
      </c>
      <c r="D114" s="30">
        <v>0.47152777777777777</v>
      </c>
      <c r="E114" s="8" t="s">
        <v>650</v>
      </c>
      <c r="F114" s="3" t="s">
        <v>23</v>
      </c>
      <c r="G114" s="3" t="s">
        <v>24</v>
      </c>
      <c r="H114" s="8" t="s">
        <v>103</v>
      </c>
      <c r="I114" s="8" t="str">
        <f>VLOOKUP(A114,'[1]Data-Upd'!$A:$G,7,FALSE)</f>
        <v>Supply Chain</v>
      </c>
      <c r="J114" s="1" t="s">
        <v>651</v>
      </c>
      <c r="K114" s="23" t="s">
        <v>652</v>
      </c>
      <c r="L114" s="11">
        <v>45876.541666666664</v>
      </c>
      <c r="M114" s="8" t="s">
        <v>28</v>
      </c>
      <c r="N114" s="8"/>
      <c r="O114" s="8" t="s">
        <v>653</v>
      </c>
      <c r="P114" s="1" t="s">
        <v>219</v>
      </c>
      <c r="Q114" s="46" t="s">
        <v>654</v>
      </c>
      <c r="R114" s="46" t="s">
        <v>440</v>
      </c>
      <c r="S114" s="46" t="s">
        <v>440</v>
      </c>
      <c r="T114" s="46">
        <v>0</v>
      </c>
      <c r="U114" s="46" t="s">
        <v>464</v>
      </c>
    </row>
    <row r="115" spans="1:21">
      <c r="A115" s="36" t="s">
        <v>655</v>
      </c>
      <c r="B115" s="4"/>
      <c r="C115" s="29">
        <v>45876</v>
      </c>
      <c r="D115" s="30">
        <v>0.47361111111111109</v>
      </c>
      <c r="E115" s="8" t="s">
        <v>656</v>
      </c>
      <c r="F115" s="3" t="s">
        <v>32</v>
      </c>
      <c r="G115" s="3" t="s">
        <v>24</v>
      </c>
      <c r="H115" s="8" t="s">
        <v>55</v>
      </c>
      <c r="I115" s="8" t="str">
        <f>VLOOKUP(A115,'[1]Data-Upd'!$A:$G,7,FALSE)</f>
        <v>Online</v>
      </c>
      <c r="J115" s="1" t="s">
        <v>657</v>
      </c>
      <c r="K115" s="23" t="s">
        <v>658</v>
      </c>
      <c r="L115" s="11">
        <v>45876.583333333336</v>
      </c>
      <c r="M115" s="4" t="s">
        <v>229</v>
      </c>
      <c r="N115" s="8"/>
      <c r="O115" s="8" t="s">
        <v>367</v>
      </c>
      <c r="P115" s="1" t="s">
        <v>219</v>
      </c>
      <c r="Q115" s="46" t="s">
        <v>659</v>
      </c>
      <c r="R115" s="46" t="s">
        <v>440</v>
      </c>
      <c r="S115" s="46">
        <v>0</v>
      </c>
      <c r="T115" s="46">
        <v>0</v>
      </c>
      <c r="U115" s="46" t="s">
        <v>479</v>
      </c>
    </row>
    <row r="116" spans="1:21">
      <c r="A116" s="36" t="s">
        <v>660</v>
      </c>
      <c r="B116" s="4"/>
      <c r="C116" s="29">
        <v>45876</v>
      </c>
      <c r="D116" s="30">
        <v>0.4826388888888889</v>
      </c>
      <c r="E116" s="8" t="s">
        <v>661</v>
      </c>
      <c r="F116" s="3" t="s">
        <v>32</v>
      </c>
      <c r="G116" s="3" t="s">
        <v>24</v>
      </c>
      <c r="H116" s="8" t="s">
        <v>340</v>
      </c>
      <c r="I116" s="8" t="str">
        <f>VLOOKUP(A116,'[1]Data-Upd'!$A:$G,7,FALSE)</f>
        <v>Loyalty</v>
      </c>
      <c r="J116" s="1" t="s">
        <v>662</v>
      </c>
      <c r="K116" s="23" t="s">
        <v>663</v>
      </c>
      <c r="L116" s="11">
        <v>45877.520833333336</v>
      </c>
      <c r="M116" s="4" t="s">
        <v>28</v>
      </c>
      <c r="N116" s="8"/>
      <c r="O116" s="8" t="s">
        <v>664</v>
      </c>
      <c r="P116" s="1" t="s">
        <v>219</v>
      </c>
      <c r="Q116" s="46" t="s">
        <v>570</v>
      </c>
      <c r="R116" s="46" t="s">
        <v>440</v>
      </c>
      <c r="S116" s="46">
        <v>0</v>
      </c>
      <c r="T116" s="46">
        <v>0</v>
      </c>
      <c r="U116" s="46" t="s">
        <v>539</v>
      </c>
    </row>
    <row r="117" spans="1:21">
      <c r="A117" s="36" t="s">
        <v>665</v>
      </c>
      <c r="B117" s="4"/>
      <c r="C117" s="29">
        <v>45876</v>
      </c>
      <c r="D117" s="30">
        <v>0.51527777777777772</v>
      </c>
      <c r="E117" s="8" t="s">
        <v>666</v>
      </c>
      <c r="F117" s="26" t="s">
        <v>32</v>
      </c>
      <c r="G117" s="3" t="s">
        <v>24</v>
      </c>
      <c r="H117" s="8" t="s">
        <v>103</v>
      </c>
      <c r="I117" s="8" t="str">
        <f>VLOOKUP(A117,'[1]Data-Upd'!$A:$G,7,FALSE)</f>
        <v>Supply Chain</v>
      </c>
      <c r="J117" s="23" t="s">
        <v>667</v>
      </c>
      <c r="K117" s="23" t="s">
        <v>668</v>
      </c>
      <c r="L117" s="11">
        <v>45876.694444444445</v>
      </c>
      <c r="M117" s="4" t="s">
        <v>497</v>
      </c>
      <c r="N117" s="8"/>
      <c r="O117" s="8" t="s">
        <v>129</v>
      </c>
      <c r="P117" s="1" t="s">
        <v>219</v>
      </c>
      <c r="Q117" s="46" t="s">
        <v>669</v>
      </c>
      <c r="R117" s="46" t="s">
        <v>440</v>
      </c>
      <c r="S117" s="46" t="s">
        <v>440</v>
      </c>
      <c r="T117" s="46" t="s">
        <v>440</v>
      </c>
      <c r="U117" s="46" t="s">
        <v>647</v>
      </c>
    </row>
    <row r="118" spans="1:21">
      <c r="A118" s="36" t="s">
        <v>670</v>
      </c>
      <c r="B118" s="4"/>
      <c r="C118" s="29">
        <v>45877</v>
      </c>
      <c r="D118" s="30">
        <v>0.28541666666666665</v>
      </c>
      <c r="E118" s="8" t="s">
        <v>671</v>
      </c>
      <c r="F118" s="26" t="s">
        <v>32</v>
      </c>
      <c r="G118" s="3" t="s">
        <v>24</v>
      </c>
      <c r="H118" s="8" t="s">
        <v>103</v>
      </c>
      <c r="I118" s="8" t="str">
        <f>VLOOKUP(A118,'[1]Data-Upd'!$A:$G,7,FALSE)</f>
        <v>Food</v>
      </c>
      <c r="J118" s="23" t="s">
        <v>672</v>
      </c>
      <c r="K118" s="23" t="s">
        <v>673</v>
      </c>
      <c r="L118" s="11">
        <v>45881.416666666664</v>
      </c>
      <c r="M118" s="4" t="s">
        <v>28</v>
      </c>
      <c r="N118" s="8"/>
      <c r="O118" s="8" t="s">
        <v>674</v>
      </c>
      <c r="P118" s="1" t="s">
        <v>219</v>
      </c>
      <c r="Q118" s="46" t="s">
        <v>675</v>
      </c>
      <c r="R118" s="46" t="s">
        <v>430</v>
      </c>
      <c r="S118" s="46" t="s">
        <v>430</v>
      </c>
      <c r="T118" s="46">
        <v>0</v>
      </c>
      <c r="U118" s="46" t="s">
        <v>479</v>
      </c>
    </row>
    <row r="119" spans="1:21">
      <c r="A119" s="36" t="s">
        <v>676</v>
      </c>
      <c r="B119" s="4" t="s">
        <v>677</v>
      </c>
      <c r="C119" s="37">
        <v>45878</v>
      </c>
      <c r="D119" s="38">
        <v>9.0277777777777776E-2</v>
      </c>
      <c r="E119" s="8" t="s">
        <v>678</v>
      </c>
      <c r="F119" s="3" t="s">
        <v>23</v>
      </c>
      <c r="G119" s="3" t="s">
        <v>24</v>
      </c>
      <c r="H119" s="8" t="s">
        <v>518</v>
      </c>
      <c r="I119" s="8" t="str">
        <f>VLOOKUP(A119,'[1]Data-Upd'!$A:$G,7,FALSE)</f>
        <v>Finance</v>
      </c>
      <c r="J119" s="1" t="s">
        <v>679</v>
      </c>
      <c r="K119" s="33" t="s">
        <v>680</v>
      </c>
      <c r="L119" s="11">
        <v>45879.458333333336</v>
      </c>
      <c r="M119" s="8" t="s">
        <v>681</v>
      </c>
      <c r="N119" s="8"/>
      <c r="O119" s="41" t="s">
        <v>682</v>
      </c>
      <c r="P119" s="1" t="s">
        <v>213</v>
      </c>
      <c r="Q119" s="46" t="s">
        <v>683</v>
      </c>
      <c r="R119" s="46" t="s">
        <v>430</v>
      </c>
      <c r="S119" s="46" t="s">
        <v>430</v>
      </c>
      <c r="T119" s="46" t="s">
        <v>440</v>
      </c>
      <c r="U119" s="46" t="s">
        <v>684</v>
      </c>
    </row>
    <row r="120" spans="1:21">
      <c r="A120" s="36" t="s">
        <v>685</v>
      </c>
      <c r="B120" s="4" t="s">
        <v>686</v>
      </c>
      <c r="C120" s="29">
        <v>45878</v>
      </c>
      <c r="D120" s="30">
        <v>0.44791666666666669</v>
      </c>
      <c r="E120" s="8" t="s">
        <v>687</v>
      </c>
      <c r="F120" s="3" t="s">
        <v>23</v>
      </c>
      <c r="G120" s="3" t="s">
        <v>24</v>
      </c>
      <c r="H120" s="8" t="s">
        <v>25</v>
      </c>
      <c r="I120" s="8" t="str">
        <f>VLOOKUP(A120,'[1]Data-Upd'!$A:$G,7,FALSE)</f>
        <v>Stores</v>
      </c>
      <c r="J120" s="1" t="s">
        <v>688</v>
      </c>
      <c r="K120" s="23" t="s">
        <v>689</v>
      </c>
      <c r="L120" s="11">
        <v>45878.701388888891</v>
      </c>
      <c r="M120" s="4" t="s">
        <v>28</v>
      </c>
      <c r="N120" s="8"/>
      <c r="O120" s="8" t="s">
        <v>690</v>
      </c>
      <c r="P120" s="1" t="s">
        <v>213</v>
      </c>
      <c r="Q120" s="46" t="s">
        <v>691</v>
      </c>
      <c r="R120" s="46" t="s">
        <v>440</v>
      </c>
      <c r="S120" s="46" t="s">
        <v>430</v>
      </c>
      <c r="T120" s="46">
        <v>0</v>
      </c>
      <c r="U120" s="46" t="s">
        <v>506</v>
      </c>
    </row>
    <row r="121" spans="1:21">
      <c r="A121" s="36" t="s">
        <v>692</v>
      </c>
      <c r="B121" s="4"/>
      <c r="C121" s="37">
        <v>45879</v>
      </c>
      <c r="D121" s="38">
        <v>0.69791666666666663</v>
      </c>
      <c r="E121" s="8" t="s">
        <v>693</v>
      </c>
      <c r="F121" s="3" t="s">
        <v>32</v>
      </c>
      <c r="G121" s="3" t="s">
        <v>24</v>
      </c>
      <c r="H121" s="8" t="s">
        <v>518</v>
      </c>
      <c r="I121" s="8" t="str">
        <f>VLOOKUP(A121,'[1]Data-Upd'!$A:$G,7,FALSE)</f>
        <v>Finance</v>
      </c>
      <c r="J121" s="1" t="s">
        <v>694</v>
      </c>
      <c r="K121" s="23" t="s">
        <v>695</v>
      </c>
      <c r="L121" s="11">
        <v>45879.739583333336</v>
      </c>
      <c r="M121" s="4" t="s">
        <v>696</v>
      </c>
      <c r="N121" s="8"/>
      <c r="O121" s="8" t="s">
        <v>697</v>
      </c>
      <c r="P121" s="1" t="s">
        <v>213</v>
      </c>
      <c r="Q121" s="46" t="s">
        <v>698</v>
      </c>
      <c r="R121" s="46" t="s">
        <v>440</v>
      </c>
      <c r="S121" s="46" t="s">
        <v>440</v>
      </c>
      <c r="T121" s="46" t="s">
        <v>571</v>
      </c>
      <c r="U121" s="46" t="s">
        <v>684</v>
      </c>
    </row>
    <row r="122" spans="1:21">
      <c r="A122" s="36" t="s">
        <v>699</v>
      </c>
      <c r="B122" s="4"/>
      <c r="C122" s="29">
        <v>45880</v>
      </c>
      <c r="D122" s="30">
        <v>0.47152777777777777</v>
      </c>
      <c r="E122" s="8" t="s">
        <v>700</v>
      </c>
      <c r="F122" s="3" t="s">
        <v>32</v>
      </c>
      <c r="G122" s="3" t="s">
        <v>24</v>
      </c>
      <c r="H122" s="8" t="s">
        <v>103</v>
      </c>
      <c r="I122" s="8" t="str">
        <f>VLOOKUP(A122,'[1]Data-Upd'!$A:$G,7,FALSE)</f>
        <v>Supply Chain</v>
      </c>
      <c r="J122" s="1" t="s">
        <v>701</v>
      </c>
      <c r="K122" s="23" t="s">
        <v>702</v>
      </c>
      <c r="L122" s="11">
        <v>45880.681944444441</v>
      </c>
      <c r="M122" s="4" t="s">
        <v>497</v>
      </c>
      <c r="N122" s="8"/>
      <c r="O122" s="8" t="s">
        <v>129</v>
      </c>
      <c r="P122" s="1" t="s">
        <v>219</v>
      </c>
      <c r="Q122" s="46" t="s">
        <v>703</v>
      </c>
      <c r="R122" s="46" t="s">
        <v>440</v>
      </c>
      <c r="S122" s="46" t="s">
        <v>440</v>
      </c>
      <c r="T122" s="46" t="s">
        <v>440</v>
      </c>
      <c r="U122" s="46" t="s">
        <v>647</v>
      </c>
    </row>
    <row r="123" spans="1:21">
      <c r="A123" s="36" t="s">
        <v>704</v>
      </c>
      <c r="B123" s="4" t="s">
        <v>705</v>
      </c>
      <c r="C123" s="29">
        <v>45881</v>
      </c>
      <c r="D123" s="30">
        <v>0.2638888888888889</v>
      </c>
      <c r="E123" s="8" t="s">
        <v>706</v>
      </c>
      <c r="F123" s="3" t="s">
        <v>23</v>
      </c>
      <c r="G123" s="3" t="s">
        <v>24</v>
      </c>
      <c r="H123" s="8" t="s">
        <v>25</v>
      </c>
      <c r="I123" s="8" t="str">
        <f>VLOOKUP(A123,'[1]Data-Upd'!$A:$G,7,FALSE)</f>
        <v>Stores</v>
      </c>
      <c r="J123" s="1" t="s">
        <v>707</v>
      </c>
      <c r="K123" s="23" t="s">
        <v>708</v>
      </c>
      <c r="L123" s="11">
        <v>45881.322916666664</v>
      </c>
      <c r="M123" s="4" t="s">
        <v>99</v>
      </c>
      <c r="N123" s="8"/>
      <c r="O123" s="8" t="s">
        <v>709</v>
      </c>
      <c r="P123" s="1" t="s">
        <v>213</v>
      </c>
      <c r="Q123" s="46" t="s">
        <v>710</v>
      </c>
      <c r="R123" s="46" t="s">
        <v>440</v>
      </c>
      <c r="S123" s="46" t="s">
        <v>440</v>
      </c>
      <c r="T123" s="46" t="s">
        <v>430</v>
      </c>
      <c r="U123" s="46" t="s">
        <v>539</v>
      </c>
    </row>
    <row r="124" spans="1:21">
      <c r="A124" s="36" t="s">
        <v>711</v>
      </c>
      <c r="B124" s="4"/>
      <c r="C124" s="29">
        <v>45881</v>
      </c>
      <c r="D124" s="30">
        <v>0.75</v>
      </c>
      <c r="E124" s="14" t="s">
        <v>712</v>
      </c>
      <c r="F124" s="3" t="s">
        <v>32</v>
      </c>
      <c r="G124" s="3" t="s">
        <v>24</v>
      </c>
      <c r="H124" s="8" t="s">
        <v>103</v>
      </c>
      <c r="I124" s="8" t="str">
        <f>VLOOKUP(A124,'[1]Data-Upd'!$A:$G,7,FALSE)</f>
        <v>Supply Chain</v>
      </c>
      <c r="J124" s="1" t="s">
        <v>713</v>
      </c>
      <c r="K124" s="23" t="s">
        <v>714</v>
      </c>
      <c r="L124" s="11">
        <v>45882.388888888891</v>
      </c>
      <c r="M124" s="8" t="s">
        <v>607</v>
      </c>
      <c r="N124" s="8"/>
      <c r="O124" s="8" t="s">
        <v>129</v>
      </c>
      <c r="P124" s="1" t="s">
        <v>219</v>
      </c>
      <c r="Q124" s="46" t="s">
        <v>715</v>
      </c>
      <c r="R124" s="46" t="s">
        <v>440</v>
      </c>
      <c r="S124" s="46" t="s">
        <v>430</v>
      </c>
      <c r="T124" s="46" t="s">
        <v>440</v>
      </c>
      <c r="U124" s="46" t="s">
        <v>609</v>
      </c>
    </row>
    <row r="125" spans="1:21">
      <c r="A125" s="36" t="s">
        <v>716</v>
      </c>
      <c r="B125" s="4"/>
      <c r="C125" s="29">
        <v>45882</v>
      </c>
      <c r="D125" s="30">
        <v>0.41319444444444442</v>
      </c>
      <c r="E125" s="8" t="s">
        <v>717</v>
      </c>
      <c r="F125" s="3" t="s">
        <v>32</v>
      </c>
      <c r="G125" s="3" t="s">
        <v>24</v>
      </c>
      <c r="H125" s="8" t="s">
        <v>55</v>
      </c>
      <c r="I125" s="8" t="str">
        <f>VLOOKUP(A125,'[1]Data-Upd'!$A:$G,7,FALSE)</f>
        <v>Online</v>
      </c>
      <c r="J125" s="1" t="s">
        <v>718</v>
      </c>
      <c r="K125" s="23" t="s">
        <v>719</v>
      </c>
      <c r="L125" s="11">
        <v>45883.541666666664</v>
      </c>
      <c r="M125" s="4" t="s">
        <v>331</v>
      </c>
      <c r="N125" s="8"/>
      <c r="O125" s="8" t="s">
        <v>455</v>
      </c>
      <c r="P125" s="1" t="s">
        <v>219</v>
      </c>
      <c r="Q125" s="46" t="s">
        <v>720</v>
      </c>
      <c r="R125" s="46" t="s">
        <v>440</v>
      </c>
      <c r="S125" s="46">
        <v>0</v>
      </c>
      <c r="T125" s="46">
        <v>0</v>
      </c>
      <c r="U125" s="46" t="s">
        <v>479</v>
      </c>
    </row>
    <row r="126" spans="1:21">
      <c r="A126" s="36" t="s">
        <v>721</v>
      </c>
      <c r="B126" s="4" t="s">
        <v>722</v>
      </c>
      <c r="C126" s="29">
        <v>45884</v>
      </c>
      <c r="D126" s="30">
        <v>0.74305555555555558</v>
      </c>
      <c r="E126" s="8" t="s">
        <v>723</v>
      </c>
      <c r="F126" s="3" t="s">
        <v>23</v>
      </c>
      <c r="G126" s="3" t="s">
        <v>24</v>
      </c>
      <c r="H126" s="8" t="s">
        <v>340</v>
      </c>
      <c r="I126" s="8" t="str">
        <f>VLOOKUP(A126,'[1]Data-Upd'!$A:$G,7,FALSE)</f>
        <v>Loyalty</v>
      </c>
      <c r="J126" s="1" t="s">
        <v>724</v>
      </c>
      <c r="K126" s="23" t="s">
        <v>725</v>
      </c>
      <c r="L126" s="11">
        <v>45885.69027777778</v>
      </c>
      <c r="M126" s="8" t="s">
        <v>726</v>
      </c>
      <c r="N126" s="8"/>
      <c r="O126" s="8" t="s">
        <v>344</v>
      </c>
      <c r="P126" s="1" t="s">
        <v>219</v>
      </c>
      <c r="Q126" s="46" t="s">
        <v>727</v>
      </c>
      <c r="R126" s="46" t="s">
        <v>440</v>
      </c>
      <c r="S126" s="46">
        <v>0</v>
      </c>
      <c r="T126" s="46">
        <v>0</v>
      </c>
      <c r="U126" s="46" t="s">
        <v>431</v>
      </c>
    </row>
    <row r="127" spans="1:21">
      <c r="A127" s="36" t="s">
        <v>728</v>
      </c>
      <c r="B127" s="4" t="s">
        <v>729</v>
      </c>
      <c r="C127" s="29">
        <v>45887</v>
      </c>
      <c r="D127" s="30">
        <v>0.55902777777777779</v>
      </c>
      <c r="E127" s="8" t="s">
        <v>730</v>
      </c>
      <c r="F127" s="3" t="s">
        <v>23</v>
      </c>
      <c r="G127" s="3" t="s">
        <v>24</v>
      </c>
      <c r="H127" s="8" t="s">
        <v>731</v>
      </c>
      <c r="I127" s="8" t="str">
        <f>VLOOKUP(A127,'[1]Data-Upd'!$A:$G,7,FALSE)</f>
        <v>Food</v>
      </c>
      <c r="J127" s="1" t="s">
        <v>732</v>
      </c>
      <c r="K127" s="23" t="s">
        <v>733</v>
      </c>
      <c r="L127" s="11">
        <v>45887.634027777778</v>
      </c>
      <c r="M127" s="8" t="s">
        <v>349</v>
      </c>
      <c r="N127" s="8"/>
      <c r="O127" s="8" t="s">
        <v>734</v>
      </c>
      <c r="P127" s="1" t="s">
        <v>219</v>
      </c>
      <c r="Q127" s="46" t="s">
        <v>735</v>
      </c>
      <c r="R127" s="46" t="s">
        <v>440</v>
      </c>
      <c r="S127" s="46" t="s">
        <v>440</v>
      </c>
      <c r="T127" s="46">
        <v>0</v>
      </c>
      <c r="U127" s="46" t="s">
        <v>492</v>
      </c>
    </row>
    <row r="128" spans="1:21">
      <c r="A128" s="36" t="s">
        <v>736</v>
      </c>
      <c r="B128" s="4"/>
      <c r="C128" s="29">
        <v>45887</v>
      </c>
      <c r="D128" s="30">
        <v>0.91319444444444442</v>
      </c>
      <c r="E128" s="8" t="s">
        <v>737</v>
      </c>
      <c r="F128" s="3" t="s">
        <v>32</v>
      </c>
      <c r="G128" s="3" t="s">
        <v>24</v>
      </c>
      <c r="H128" s="8" t="s">
        <v>55</v>
      </c>
      <c r="I128" s="8" t="str">
        <f>VLOOKUP(A128,'[1]Data-Upd'!$A:$G,7,FALSE)</f>
        <v>Online</v>
      </c>
      <c r="J128" s="1" t="s">
        <v>738</v>
      </c>
      <c r="K128" s="23" t="s">
        <v>739</v>
      </c>
      <c r="L128" s="11">
        <v>45887.956250000003</v>
      </c>
      <c r="M128" s="8" t="s">
        <v>740</v>
      </c>
      <c r="N128" s="8"/>
      <c r="O128" s="8" t="s">
        <v>741</v>
      </c>
      <c r="P128" s="1" t="s">
        <v>219</v>
      </c>
      <c r="Q128" s="46" t="s">
        <v>742</v>
      </c>
      <c r="R128" s="46" t="s">
        <v>430</v>
      </c>
      <c r="S128" s="46">
        <v>0</v>
      </c>
      <c r="T128" s="46">
        <v>0</v>
      </c>
      <c r="U128" s="46" t="s">
        <v>492</v>
      </c>
    </row>
    <row r="129" spans="1:21">
      <c r="A129" s="36" t="s">
        <v>743</v>
      </c>
      <c r="B129" s="4"/>
      <c r="C129" s="29">
        <v>45888</v>
      </c>
      <c r="D129" s="30">
        <v>0.37847222222222221</v>
      </c>
      <c r="E129" s="8" t="s">
        <v>744</v>
      </c>
      <c r="F129" s="3" t="s">
        <v>32</v>
      </c>
      <c r="G129" s="3" t="s">
        <v>24</v>
      </c>
      <c r="H129" s="8" t="s">
        <v>55</v>
      </c>
      <c r="I129" s="8" t="str">
        <f>VLOOKUP(A129,'[1]Data-Upd'!$A:$G,7,FALSE)</f>
        <v>Online</v>
      </c>
      <c r="J129" s="1" t="s">
        <v>745</v>
      </c>
      <c r="K129" s="23" t="s">
        <v>746</v>
      </c>
      <c r="L129" s="11">
        <v>45888.6875</v>
      </c>
      <c r="M129" s="8" t="s">
        <v>331</v>
      </c>
      <c r="N129" s="14" t="s">
        <v>747</v>
      </c>
      <c r="O129" s="8" t="s">
        <v>312</v>
      </c>
      <c r="P129" s="1" t="s">
        <v>213</v>
      </c>
      <c r="Q129" s="46" t="s">
        <v>570</v>
      </c>
      <c r="R129" s="46" t="s">
        <v>440</v>
      </c>
      <c r="S129" s="46">
        <v>0</v>
      </c>
      <c r="T129" s="46">
        <v>0</v>
      </c>
      <c r="U129" s="46" t="s">
        <v>539</v>
      </c>
    </row>
    <row r="130" spans="1:21">
      <c r="A130" s="36" t="s">
        <v>748</v>
      </c>
      <c r="B130" s="4"/>
      <c r="C130" s="29">
        <v>45888</v>
      </c>
      <c r="D130" s="30">
        <v>0.58333333333333337</v>
      </c>
      <c r="E130" s="8" t="s">
        <v>749</v>
      </c>
      <c r="F130" s="3" t="s">
        <v>32</v>
      </c>
      <c r="G130" s="3" t="s">
        <v>24</v>
      </c>
      <c r="H130" s="8" t="s">
        <v>103</v>
      </c>
      <c r="I130" s="8" t="str">
        <f>VLOOKUP(A130,'[1]Data-Upd'!$A:$G,7,FALSE)</f>
        <v>Supply Chain</v>
      </c>
      <c r="J130" s="1" t="s">
        <v>750</v>
      </c>
      <c r="K130" s="23" t="s">
        <v>751</v>
      </c>
      <c r="L130" s="11">
        <v>45917.666666666664</v>
      </c>
      <c r="M130" s="8" t="s">
        <v>681</v>
      </c>
      <c r="N130" s="8"/>
      <c r="O130" s="8" t="s">
        <v>752</v>
      </c>
      <c r="P130" s="1" t="s">
        <v>213</v>
      </c>
      <c r="Q130" s="46" t="s">
        <v>753</v>
      </c>
      <c r="R130" s="46" t="s">
        <v>440</v>
      </c>
      <c r="S130" s="46" t="s">
        <v>430</v>
      </c>
      <c r="T130" s="46" t="s">
        <v>440</v>
      </c>
      <c r="U130" s="46" t="s">
        <v>457</v>
      </c>
    </row>
    <row r="131" spans="1:21">
      <c r="A131" s="36" t="s">
        <v>754</v>
      </c>
      <c r="B131" s="4"/>
      <c r="C131" s="29">
        <v>45888</v>
      </c>
      <c r="D131" s="30">
        <v>0.59305555555555556</v>
      </c>
      <c r="E131" s="8" t="s">
        <v>755</v>
      </c>
      <c r="F131" s="3" t="s">
        <v>32</v>
      </c>
      <c r="G131" s="3" t="s">
        <v>24</v>
      </c>
      <c r="H131" s="8" t="s">
        <v>103</v>
      </c>
      <c r="I131" s="8" t="str">
        <f>VLOOKUP(A131,'[1]Data-Upd'!$A:$G,7,FALSE)</f>
        <v>Supply Chain</v>
      </c>
      <c r="J131" s="1" t="s">
        <v>756</v>
      </c>
      <c r="K131" s="25" t="s">
        <v>757</v>
      </c>
      <c r="L131" s="11">
        <v>45917.666666666664</v>
      </c>
      <c r="M131" s="8" t="s">
        <v>681</v>
      </c>
      <c r="N131" s="8"/>
      <c r="O131" s="8" t="s">
        <v>758</v>
      </c>
      <c r="P131" s="1" t="s">
        <v>213</v>
      </c>
      <c r="Q131" s="46" t="s">
        <v>759</v>
      </c>
      <c r="R131" s="46" t="s">
        <v>440</v>
      </c>
      <c r="S131" s="46" t="s">
        <v>430</v>
      </c>
      <c r="T131" s="46">
        <v>0</v>
      </c>
      <c r="U131" s="46" t="s">
        <v>457</v>
      </c>
    </row>
    <row r="132" spans="1:21">
      <c r="A132" s="36" t="s">
        <v>760</v>
      </c>
      <c r="B132" s="4"/>
      <c r="C132" s="29">
        <v>45888</v>
      </c>
      <c r="D132" s="30">
        <v>0.6875</v>
      </c>
      <c r="E132" s="8" t="s">
        <v>761</v>
      </c>
      <c r="F132" s="3" t="s">
        <v>32</v>
      </c>
      <c r="G132" s="31" t="s">
        <v>24</v>
      </c>
      <c r="H132" s="8" t="s">
        <v>55</v>
      </c>
      <c r="I132" s="8" t="str">
        <f>VLOOKUP(A132,'[1]Data-Upd'!$A:$G,7,FALSE)</f>
        <v>Online</v>
      </c>
      <c r="J132" s="1" t="s">
        <v>762</v>
      </c>
      <c r="K132" s="23" t="s">
        <v>763</v>
      </c>
      <c r="L132" s="11">
        <v>45889.527083333334</v>
      </c>
      <c r="M132" s="8" t="s">
        <v>764</v>
      </c>
      <c r="N132" s="8"/>
      <c r="O132" s="8" t="s">
        <v>765</v>
      </c>
      <c r="P132" s="1" t="s">
        <v>219</v>
      </c>
      <c r="Q132" s="46" t="s">
        <v>766</v>
      </c>
      <c r="R132" s="46" t="s">
        <v>440</v>
      </c>
      <c r="S132" s="46">
        <v>0</v>
      </c>
      <c r="T132" s="46">
        <v>0</v>
      </c>
      <c r="U132" s="46" t="s">
        <v>479</v>
      </c>
    </row>
    <row r="133" spans="1:21">
      <c r="A133" s="36" t="s">
        <v>767</v>
      </c>
      <c r="B133" s="4" t="s">
        <v>768</v>
      </c>
      <c r="C133" s="29">
        <v>45889</v>
      </c>
      <c r="D133" s="30">
        <v>0.72916666666666663</v>
      </c>
      <c r="E133" s="8" t="s">
        <v>769</v>
      </c>
      <c r="F133" s="3" t="s">
        <v>23</v>
      </c>
      <c r="G133" s="31" t="s">
        <v>24</v>
      </c>
      <c r="H133" s="8" t="s">
        <v>340</v>
      </c>
      <c r="I133" s="8" t="str">
        <f>VLOOKUP(A133,'[1]Data-Upd'!$A:$G,7,FALSE)</f>
        <v>Loyalty</v>
      </c>
      <c r="J133" s="1" t="s">
        <v>770</v>
      </c>
      <c r="K133" s="23" t="s">
        <v>771</v>
      </c>
      <c r="L133" s="11">
        <v>45890.444444444445</v>
      </c>
      <c r="M133" s="8" t="s">
        <v>28</v>
      </c>
      <c r="N133" s="8" t="s">
        <v>772</v>
      </c>
      <c r="O133" s="8" t="s">
        <v>773</v>
      </c>
      <c r="P133" s="1" t="s">
        <v>219</v>
      </c>
      <c r="Q133" s="46" t="s">
        <v>774</v>
      </c>
      <c r="R133" s="46" t="s">
        <v>440</v>
      </c>
      <c r="S133" s="46">
        <v>0</v>
      </c>
      <c r="T133" s="46">
        <v>0</v>
      </c>
      <c r="U133" s="46" t="s">
        <v>464</v>
      </c>
    </row>
    <row r="134" spans="1:21">
      <c r="A134" s="36" t="s">
        <v>775</v>
      </c>
      <c r="B134" s="4"/>
      <c r="C134" s="29">
        <v>45890</v>
      </c>
      <c r="D134" s="30">
        <v>0.17083333333333334</v>
      </c>
      <c r="E134" s="8" t="s">
        <v>776</v>
      </c>
      <c r="F134" s="3" t="s">
        <v>32</v>
      </c>
      <c r="G134" s="31" t="s">
        <v>24</v>
      </c>
      <c r="H134" s="8" t="s">
        <v>103</v>
      </c>
      <c r="I134" s="8" t="str">
        <f>VLOOKUP(A134,'[1]Data-Upd'!$A:$G,7,FALSE)</f>
        <v>Supply Chain</v>
      </c>
      <c r="J134" s="1" t="s">
        <v>777</v>
      </c>
      <c r="K134" s="33" t="s">
        <v>778</v>
      </c>
      <c r="L134" s="11">
        <v>45891.450694444444</v>
      </c>
      <c r="M134" s="8" t="s">
        <v>537</v>
      </c>
      <c r="N134" s="8"/>
      <c r="O134" s="8" t="s">
        <v>129</v>
      </c>
      <c r="P134" s="1" t="s">
        <v>219</v>
      </c>
      <c r="Q134" s="46" t="s">
        <v>779</v>
      </c>
      <c r="R134" s="46" t="s">
        <v>440</v>
      </c>
      <c r="S134" s="46">
        <v>0</v>
      </c>
      <c r="T134" s="46">
        <v>0</v>
      </c>
      <c r="U134" s="46" t="s">
        <v>647</v>
      </c>
    </row>
    <row r="135" spans="1:21">
      <c r="A135" s="36" t="s">
        <v>780</v>
      </c>
      <c r="B135" s="4"/>
      <c r="C135" s="29">
        <v>45890</v>
      </c>
      <c r="D135" s="30">
        <v>0.34930555555555554</v>
      </c>
      <c r="E135" s="8" t="s">
        <v>781</v>
      </c>
      <c r="F135" s="3" t="s">
        <v>32</v>
      </c>
      <c r="G135" s="31" t="s">
        <v>24</v>
      </c>
      <c r="H135" s="14" t="s">
        <v>782</v>
      </c>
      <c r="I135" s="8" t="str">
        <f>VLOOKUP(A135,'[1]Data-Upd'!$A:$G,7,FALSE)</f>
        <v>Finance</v>
      </c>
      <c r="J135" s="1" t="s">
        <v>783</v>
      </c>
      <c r="K135" s="33" t="s">
        <v>784</v>
      </c>
      <c r="L135" s="11">
        <v>45892.520833333336</v>
      </c>
      <c r="M135" s="8" t="s">
        <v>681</v>
      </c>
      <c r="N135" s="8"/>
      <c r="O135" s="8" t="s">
        <v>785</v>
      </c>
      <c r="P135" s="1" t="s">
        <v>213</v>
      </c>
      <c r="Q135" s="46" t="s">
        <v>786</v>
      </c>
      <c r="R135" s="46" t="s">
        <v>440</v>
      </c>
      <c r="S135" s="46" t="s">
        <v>430</v>
      </c>
      <c r="T135" s="46" t="s">
        <v>440</v>
      </c>
      <c r="U135" s="46" t="s">
        <v>506</v>
      </c>
    </row>
    <row r="136" spans="1:21">
      <c r="A136" s="36" t="s">
        <v>787</v>
      </c>
      <c r="B136" s="14"/>
      <c r="C136" s="29">
        <v>45890</v>
      </c>
      <c r="D136" s="30">
        <v>0.72638888888888886</v>
      </c>
      <c r="E136" s="8" t="s">
        <v>788</v>
      </c>
      <c r="F136" s="3" t="s">
        <v>32</v>
      </c>
      <c r="G136" s="31" t="s">
        <v>24</v>
      </c>
      <c r="H136" s="8" t="s">
        <v>55</v>
      </c>
      <c r="I136" s="8" t="str">
        <f>VLOOKUP(A136,'[1]Data-Upd'!$A:$G,7,FALSE)</f>
        <v>Online</v>
      </c>
      <c r="J136" s="1" t="s">
        <v>789</v>
      </c>
      <c r="K136" s="23" t="s">
        <v>790</v>
      </c>
      <c r="L136" s="11">
        <v>45891.538194444445</v>
      </c>
      <c r="M136" s="8" t="s">
        <v>791</v>
      </c>
      <c r="N136" s="8"/>
      <c r="O136" s="8" t="s">
        <v>367</v>
      </c>
      <c r="P136" s="1" t="s">
        <v>213</v>
      </c>
      <c r="Q136" s="46" t="s">
        <v>792</v>
      </c>
      <c r="R136" s="46" t="s">
        <v>440</v>
      </c>
      <c r="S136" s="46" t="s">
        <v>430</v>
      </c>
      <c r="T136" s="46" t="s">
        <v>571</v>
      </c>
      <c r="U136" s="46" t="s">
        <v>684</v>
      </c>
    </row>
    <row r="137" spans="1:21">
      <c r="A137" s="36" t="s">
        <v>793</v>
      </c>
      <c r="B137" s="14"/>
      <c r="C137" s="29">
        <v>45890</v>
      </c>
      <c r="D137" s="30">
        <v>0.7319444444444444</v>
      </c>
      <c r="E137" s="8" t="s">
        <v>794</v>
      </c>
      <c r="F137" s="3" t="s">
        <v>32</v>
      </c>
      <c r="G137" s="31" t="s">
        <v>24</v>
      </c>
      <c r="H137" s="8" t="s">
        <v>731</v>
      </c>
      <c r="I137" s="8" t="str">
        <f>VLOOKUP(A137,'[1]Data-Upd'!$A:$G,7,FALSE)</f>
        <v>Food</v>
      </c>
      <c r="J137" s="1" t="s">
        <v>795</v>
      </c>
      <c r="K137" s="23" t="s">
        <v>796</v>
      </c>
      <c r="L137" s="11">
        <v>45892.751388888886</v>
      </c>
      <c r="M137" s="8" t="s">
        <v>607</v>
      </c>
      <c r="N137" s="8"/>
      <c r="O137" s="8" t="s">
        <v>734</v>
      </c>
      <c r="P137" s="1" t="s">
        <v>213</v>
      </c>
      <c r="Q137" s="46" t="s">
        <v>797</v>
      </c>
      <c r="R137" s="46" t="s">
        <v>440</v>
      </c>
      <c r="S137" s="46" t="s">
        <v>430</v>
      </c>
      <c r="T137" s="46" t="s">
        <v>440</v>
      </c>
      <c r="U137" s="46" t="s">
        <v>684</v>
      </c>
    </row>
    <row r="138" spans="1:21">
      <c r="A138" s="36" t="s">
        <v>798</v>
      </c>
      <c r="B138" s="14"/>
      <c r="C138" s="29">
        <v>45890</v>
      </c>
      <c r="D138" s="30">
        <v>0.81458333333333333</v>
      </c>
      <c r="E138" s="8" t="s">
        <v>799</v>
      </c>
      <c r="F138" s="3" t="s">
        <v>23</v>
      </c>
      <c r="G138" s="31" t="s">
        <v>24</v>
      </c>
      <c r="H138" s="8" t="s">
        <v>103</v>
      </c>
      <c r="I138" s="8" t="str">
        <f>VLOOKUP(A138,'[1]Data-Upd'!$A:$G,7,FALSE)</f>
        <v>Supply Chain</v>
      </c>
      <c r="J138" s="1" t="s">
        <v>800</v>
      </c>
      <c r="K138" s="23" t="s">
        <v>801</v>
      </c>
      <c r="L138" s="11">
        <v>45891.800694444442</v>
      </c>
      <c r="M138" s="8" t="s">
        <v>28</v>
      </c>
      <c r="N138" s="8"/>
      <c r="O138" s="8" t="s">
        <v>802</v>
      </c>
      <c r="P138" s="1" t="s">
        <v>219</v>
      </c>
      <c r="Q138" s="46" t="s">
        <v>803</v>
      </c>
      <c r="R138" s="46" t="s">
        <v>440</v>
      </c>
      <c r="S138" s="46" t="s">
        <v>440</v>
      </c>
      <c r="T138" s="46">
        <v>0</v>
      </c>
      <c r="U138" s="46" t="s">
        <v>492</v>
      </c>
    </row>
    <row r="139" spans="1:21">
      <c r="A139" s="36" t="s">
        <v>804</v>
      </c>
      <c r="B139" s="14"/>
      <c r="C139" s="29">
        <v>45891</v>
      </c>
      <c r="D139" s="30">
        <v>3.125E-2</v>
      </c>
      <c r="E139" s="8" t="s">
        <v>805</v>
      </c>
      <c r="F139" s="3" t="s">
        <v>23</v>
      </c>
      <c r="G139" s="31" t="s">
        <v>24</v>
      </c>
      <c r="H139" s="8" t="s">
        <v>103</v>
      </c>
      <c r="I139" s="8" t="str">
        <f>VLOOKUP(A139,'[1]Data-Upd'!$A:$G,7,FALSE)</f>
        <v>Food</v>
      </c>
      <c r="J139" s="1" t="s">
        <v>806</v>
      </c>
      <c r="K139" s="42" t="s">
        <v>807</v>
      </c>
      <c r="L139" s="11">
        <v>45892.458333333336</v>
      </c>
      <c r="M139" s="8" t="s">
        <v>607</v>
      </c>
      <c r="N139" s="8"/>
      <c r="O139" s="8" t="s">
        <v>734</v>
      </c>
      <c r="P139" s="1" t="s">
        <v>213</v>
      </c>
      <c r="Q139" s="46" t="s">
        <v>808</v>
      </c>
      <c r="R139" s="46" t="s">
        <v>440</v>
      </c>
      <c r="S139" s="46" t="s">
        <v>430</v>
      </c>
      <c r="T139" s="46" t="s">
        <v>430</v>
      </c>
      <c r="U139" s="46" t="s">
        <v>431</v>
      </c>
    </row>
    <row r="140" spans="1:21">
      <c r="A140" s="3" t="s">
        <v>809</v>
      </c>
      <c r="B140" s="14"/>
      <c r="C140" s="21">
        <v>45891</v>
      </c>
      <c r="D140" s="30">
        <v>0.51458333333333328</v>
      </c>
      <c r="E140" s="8" t="s">
        <v>810</v>
      </c>
      <c r="F140" s="26" t="s">
        <v>23</v>
      </c>
      <c r="G140" s="3" t="s">
        <v>24</v>
      </c>
      <c r="H140" s="8" t="s">
        <v>103</v>
      </c>
      <c r="I140" s="8" t="str">
        <f>VLOOKUP(A140,'[1]Data-Upd'!$A:$G,7,FALSE)</f>
        <v>Supply Chain</v>
      </c>
      <c r="J140" s="1" t="s">
        <v>811</v>
      </c>
      <c r="K140" s="25" t="s">
        <v>812</v>
      </c>
      <c r="L140" s="11">
        <v>45896.645833333336</v>
      </c>
      <c r="M140" s="8" t="s">
        <v>813</v>
      </c>
      <c r="N140" s="8"/>
      <c r="O140" s="8" t="s">
        <v>129</v>
      </c>
      <c r="P140" s="1" t="s">
        <v>219</v>
      </c>
      <c r="Q140" s="46" t="s">
        <v>814</v>
      </c>
      <c r="R140" s="46" t="s">
        <v>440</v>
      </c>
      <c r="S140" s="46" t="s">
        <v>430</v>
      </c>
      <c r="T140" s="46" t="s">
        <v>448</v>
      </c>
      <c r="U140" s="46" t="s">
        <v>457</v>
      </c>
    </row>
    <row r="141" spans="1:21">
      <c r="A141" s="36" t="s">
        <v>815</v>
      </c>
      <c r="B141" s="14"/>
      <c r="C141" s="29">
        <v>45893</v>
      </c>
      <c r="D141" s="30">
        <v>0.41666666666666669</v>
      </c>
      <c r="E141" s="8" t="s">
        <v>816</v>
      </c>
      <c r="F141" s="3" t="s">
        <v>23</v>
      </c>
      <c r="G141" s="31" t="s">
        <v>24</v>
      </c>
      <c r="H141" s="8" t="s">
        <v>55</v>
      </c>
      <c r="I141" s="8" t="str">
        <f>VLOOKUP(A141,'[1]Data-Upd'!$A:$G,7,FALSE)</f>
        <v>Online</v>
      </c>
      <c r="J141" s="1" t="s">
        <v>817</v>
      </c>
      <c r="K141" s="44" t="s">
        <v>818</v>
      </c>
      <c r="L141" s="43">
        <v>45893.688194444447</v>
      </c>
      <c r="M141" s="4" t="s">
        <v>445</v>
      </c>
      <c r="N141" s="8" t="s">
        <v>819</v>
      </c>
      <c r="O141" s="8" t="s">
        <v>741</v>
      </c>
      <c r="P141" s="1" t="s">
        <v>219</v>
      </c>
      <c r="Q141" s="46" t="s">
        <v>820</v>
      </c>
      <c r="R141" s="46" t="s">
        <v>440</v>
      </c>
      <c r="S141" s="46" t="s">
        <v>430</v>
      </c>
      <c r="T141" s="46" t="s">
        <v>448</v>
      </c>
      <c r="U141" s="46" t="s">
        <v>479</v>
      </c>
    </row>
    <row r="142" spans="1:21">
      <c r="A142" s="36" t="s">
        <v>821</v>
      </c>
      <c r="B142" s="14"/>
      <c r="C142" s="29">
        <v>45893</v>
      </c>
      <c r="D142" s="30">
        <v>0.44444444444444442</v>
      </c>
      <c r="E142" s="8" t="s">
        <v>822</v>
      </c>
      <c r="F142" s="3" t="s">
        <v>32</v>
      </c>
      <c r="G142" s="31" t="s">
        <v>24</v>
      </c>
      <c r="H142" s="8" t="s">
        <v>55</v>
      </c>
      <c r="I142" s="8" t="str">
        <f>VLOOKUP(A142,'[1]Data-Upd'!$A:$G,7,FALSE)</f>
        <v>Online</v>
      </c>
      <c r="J142" s="1" t="s">
        <v>823</v>
      </c>
      <c r="K142" s="23" t="s">
        <v>824</v>
      </c>
      <c r="L142" s="43">
        <v>45893.555555555555</v>
      </c>
      <c r="M142" s="4" t="s">
        <v>331</v>
      </c>
      <c r="N142" s="8"/>
      <c r="O142" s="8" t="s">
        <v>741</v>
      </c>
      <c r="P142" s="1" t="s">
        <v>219</v>
      </c>
      <c r="Q142" s="46" t="s">
        <v>825</v>
      </c>
      <c r="R142" s="46" t="s">
        <v>440</v>
      </c>
      <c r="S142" s="46" t="s">
        <v>430</v>
      </c>
      <c r="T142" s="46" t="s">
        <v>440</v>
      </c>
      <c r="U142" s="46" t="s">
        <v>479</v>
      </c>
    </row>
    <row r="143" spans="1:21">
      <c r="A143" s="36" t="s">
        <v>826</v>
      </c>
      <c r="B143" s="14"/>
      <c r="C143" s="29">
        <v>45895</v>
      </c>
      <c r="D143" s="30">
        <v>0.38194444444444442</v>
      </c>
      <c r="E143" s="8" t="s">
        <v>827</v>
      </c>
      <c r="F143" s="3" t="s">
        <v>32</v>
      </c>
      <c r="G143" s="3" t="s">
        <v>24</v>
      </c>
      <c r="H143" s="8" t="s">
        <v>103</v>
      </c>
      <c r="I143" s="8" t="str">
        <f>VLOOKUP(A143,'[1]Data-Upd'!$A:$G,7,FALSE)</f>
        <v>Supply Chain</v>
      </c>
      <c r="J143" s="1" t="s">
        <v>828</v>
      </c>
      <c r="K143" s="33" t="s">
        <v>829</v>
      </c>
      <c r="L143" s="43">
        <v>45896.4375</v>
      </c>
      <c r="M143" s="4" t="s">
        <v>445</v>
      </c>
      <c r="N143" s="8"/>
      <c r="O143" s="14" t="s">
        <v>830</v>
      </c>
      <c r="P143" s="1" t="s">
        <v>219</v>
      </c>
      <c r="Q143" s="46" t="s">
        <v>831</v>
      </c>
      <c r="R143" s="46" t="s">
        <v>440</v>
      </c>
      <c r="S143" s="46" t="s">
        <v>440</v>
      </c>
      <c r="T143" s="46" t="s">
        <v>440</v>
      </c>
      <c r="U143" s="46" t="s">
        <v>479</v>
      </c>
    </row>
    <row r="144" spans="1:21">
      <c r="A144" s="36" t="s">
        <v>832</v>
      </c>
      <c r="B144" s="14"/>
      <c r="C144" s="29">
        <v>45895</v>
      </c>
      <c r="D144" s="30">
        <v>0.875</v>
      </c>
      <c r="E144" s="8" t="s">
        <v>833</v>
      </c>
      <c r="F144" s="3" t="s">
        <v>32</v>
      </c>
      <c r="G144" s="3" t="s">
        <v>24</v>
      </c>
      <c r="H144" s="8" t="s">
        <v>103</v>
      </c>
      <c r="I144" s="8" t="str">
        <f>VLOOKUP(A144,'[1]Data-Upd'!$A:$G,7,FALSE)</f>
        <v>Supply Chain</v>
      </c>
      <c r="J144" s="1" t="s">
        <v>834</v>
      </c>
      <c r="K144" s="33" t="s">
        <v>835</v>
      </c>
      <c r="L144" s="43">
        <v>45898.583333333336</v>
      </c>
      <c r="M144" s="8" t="s">
        <v>681</v>
      </c>
      <c r="N144" s="8"/>
      <c r="O144" s="8" t="s">
        <v>785</v>
      </c>
      <c r="P144" s="1" t="s">
        <v>213</v>
      </c>
      <c r="Q144" s="46" t="s">
        <v>836</v>
      </c>
      <c r="R144" s="46" t="s">
        <v>440</v>
      </c>
      <c r="S144" s="46" t="s">
        <v>440</v>
      </c>
      <c r="T144" s="46" t="s">
        <v>440</v>
      </c>
      <c r="U144" s="46" t="s">
        <v>684</v>
      </c>
    </row>
    <row r="145" spans="1:21">
      <c r="A145" s="36" t="s">
        <v>837</v>
      </c>
      <c r="B145" s="14"/>
      <c r="C145" s="29">
        <v>45897</v>
      </c>
      <c r="D145" s="30">
        <v>0.50972222222222219</v>
      </c>
      <c r="E145" s="8" t="s">
        <v>838</v>
      </c>
      <c r="F145" s="3" t="s">
        <v>23</v>
      </c>
      <c r="G145" s="3" t="s">
        <v>24</v>
      </c>
      <c r="H145" s="8" t="s">
        <v>839</v>
      </c>
      <c r="I145" s="8" t="str">
        <f>VLOOKUP(A145,'[1]Data-Upd'!$A:$G,7,FALSE)</f>
        <v>Food</v>
      </c>
      <c r="J145" s="1" t="s">
        <v>840</v>
      </c>
      <c r="K145" s="33" t="s">
        <v>841</v>
      </c>
      <c r="L145" s="43">
        <v>45899.493055555555</v>
      </c>
      <c r="M145" s="4" t="s">
        <v>497</v>
      </c>
      <c r="N145" s="8"/>
      <c r="O145" s="8" t="s">
        <v>842</v>
      </c>
      <c r="P145" s="1" t="s">
        <v>219</v>
      </c>
      <c r="Q145" s="46" t="s">
        <v>843</v>
      </c>
      <c r="R145" s="46" t="s">
        <v>440</v>
      </c>
      <c r="S145" s="46" t="s">
        <v>430</v>
      </c>
      <c r="T145" s="46" t="s">
        <v>440</v>
      </c>
      <c r="U145" s="46" t="s">
        <v>647</v>
      </c>
    </row>
    <row r="146" spans="1:21">
      <c r="A146" s="36" t="s">
        <v>844</v>
      </c>
      <c r="B146" s="14"/>
      <c r="C146" s="29">
        <v>45898</v>
      </c>
      <c r="D146" s="30">
        <v>0.3923611111111111</v>
      </c>
      <c r="E146" s="8" t="s">
        <v>611</v>
      </c>
      <c r="F146" s="3" t="s">
        <v>23</v>
      </c>
      <c r="G146" s="3" t="s">
        <v>24</v>
      </c>
      <c r="H146" s="8" t="s">
        <v>845</v>
      </c>
      <c r="I146" s="8" t="str">
        <f>VLOOKUP(A146,'[1]Data-Upd'!$A:$G,7,FALSE)</f>
        <v>Supply Chain</v>
      </c>
      <c r="J146" s="1" t="s">
        <v>846</v>
      </c>
      <c r="K146" s="23" t="s">
        <v>847</v>
      </c>
      <c r="L146" s="43">
        <v>45901.5</v>
      </c>
      <c r="M146" s="8" t="s">
        <v>550</v>
      </c>
      <c r="N146" s="8"/>
      <c r="O146" s="8" t="s">
        <v>848</v>
      </c>
      <c r="P146" s="1" t="s">
        <v>219</v>
      </c>
      <c r="Q146" s="46" t="s">
        <v>849</v>
      </c>
      <c r="R146" s="46" t="s">
        <v>440</v>
      </c>
      <c r="S146" s="46" t="s">
        <v>430</v>
      </c>
      <c r="T146" s="46" t="s">
        <v>430</v>
      </c>
      <c r="U146" s="46" t="s">
        <v>457</v>
      </c>
    </row>
    <row r="147" spans="1:21">
      <c r="A147" s="36" t="s">
        <v>850</v>
      </c>
      <c r="B147" s="14"/>
      <c r="C147" s="29">
        <v>45898</v>
      </c>
      <c r="D147" s="30">
        <v>0.39444444444444443</v>
      </c>
      <c r="E147" s="8" t="s">
        <v>851</v>
      </c>
      <c r="F147" s="3" t="s">
        <v>32</v>
      </c>
      <c r="G147" s="3" t="s">
        <v>24</v>
      </c>
      <c r="H147" s="8" t="s">
        <v>518</v>
      </c>
      <c r="I147" s="8" t="str">
        <f>VLOOKUP(A147,'[1]Data-Upd'!$A:$G,7,FALSE)</f>
        <v>Finance</v>
      </c>
      <c r="J147" s="1" t="s">
        <v>852</v>
      </c>
      <c r="K147" s="33" t="s">
        <v>853</v>
      </c>
      <c r="L147" s="43">
        <v>45903.510416666664</v>
      </c>
      <c r="M147" s="4" t="s">
        <v>854</v>
      </c>
      <c r="N147" s="8"/>
      <c r="O147" s="8" t="s">
        <v>855</v>
      </c>
      <c r="P147" s="1" t="s">
        <v>219</v>
      </c>
      <c r="Q147" s="46" t="s">
        <v>570</v>
      </c>
      <c r="R147" s="46" t="s">
        <v>440</v>
      </c>
      <c r="S147" s="46" t="s">
        <v>430</v>
      </c>
      <c r="T147" s="46" t="s">
        <v>440</v>
      </c>
      <c r="U147" s="46" t="s">
        <v>539</v>
      </c>
    </row>
    <row r="148" spans="1:21">
      <c r="A148" s="36" t="s">
        <v>856</v>
      </c>
      <c r="B148" s="14"/>
      <c r="C148" s="29">
        <v>45898</v>
      </c>
      <c r="D148" s="30">
        <v>0.54166666666666663</v>
      </c>
      <c r="E148" s="8" t="s">
        <v>857</v>
      </c>
      <c r="F148" s="3" t="s">
        <v>32</v>
      </c>
      <c r="G148" s="3" t="s">
        <v>24</v>
      </c>
      <c r="H148" s="14" t="s">
        <v>103</v>
      </c>
      <c r="I148" s="8" t="str">
        <f>VLOOKUP(A148,'[1]Data-Upd'!$A:$G,7,FALSE)</f>
        <v>Supply Chain</v>
      </c>
      <c r="J148" s="1" t="s">
        <v>858</v>
      </c>
      <c r="K148" s="23" t="s">
        <v>859</v>
      </c>
      <c r="L148" s="43">
        <v>45900.583333333336</v>
      </c>
      <c r="M148" s="4" t="s">
        <v>537</v>
      </c>
      <c r="N148" s="8"/>
      <c r="O148" s="8" t="s">
        <v>138</v>
      </c>
      <c r="P148" s="1" t="s">
        <v>219</v>
      </c>
      <c r="Q148" s="46" t="s">
        <v>860</v>
      </c>
      <c r="R148" s="46" t="s">
        <v>440</v>
      </c>
      <c r="S148" s="46" t="s">
        <v>440</v>
      </c>
      <c r="T148" s="46">
        <v>0</v>
      </c>
      <c r="U148" s="46" t="s">
        <v>539</v>
      </c>
    </row>
    <row r="149" spans="1:21">
      <c r="A149" s="36" t="s">
        <v>861</v>
      </c>
      <c r="B149" s="14"/>
      <c r="C149" s="29">
        <v>45900</v>
      </c>
      <c r="D149" s="30">
        <v>0.69027777777777777</v>
      </c>
      <c r="E149" s="8" t="s">
        <v>862</v>
      </c>
      <c r="F149" s="3" t="s">
        <v>32</v>
      </c>
      <c r="G149" s="3" t="s">
        <v>24</v>
      </c>
      <c r="H149" s="8" t="s">
        <v>55</v>
      </c>
      <c r="I149" s="8" t="str">
        <f>VLOOKUP(A149,'[1]Data-Upd'!$A:$G,7,FALSE)</f>
        <v>Online</v>
      </c>
      <c r="J149" s="1" t="s">
        <v>863</v>
      </c>
      <c r="K149" s="33" t="s">
        <v>864</v>
      </c>
      <c r="L149" s="43">
        <v>45902.305671296293</v>
      </c>
      <c r="M149" s="4" t="s">
        <v>331</v>
      </c>
      <c r="N149" s="8"/>
      <c r="O149" s="8" t="s">
        <v>455</v>
      </c>
      <c r="P149" s="1" t="s">
        <v>219</v>
      </c>
      <c r="Q149" s="46" t="s">
        <v>865</v>
      </c>
      <c r="R149" s="46" t="s">
        <v>440</v>
      </c>
      <c r="S149" s="46" t="s">
        <v>440</v>
      </c>
      <c r="T149" s="46" t="s">
        <v>440</v>
      </c>
      <c r="U149" s="46" t="s">
        <v>479</v>
      </c>
    </row>
    <row r="150" spans="1:21">
      <c r="A150" s="36" t="s">
        <v>866</v>
      </c>
      <c r="B150" s="14"/>
      <c r="C150" s="29">
        <v>45901</v>
      </c>
      <c r="D150" s="30">
        <v>0.31944444444444442</v>
      </c>
      <c r="E150" s="8" t="s">
        <v>867</v>
      </c>
      <c r="F150" s="3" t="s">
        <v>23</v>
      </c>
      <c r="G150" s="3" t="s">
        <v>24</v>
      </c>
      <c r="H150" s="8" t="s">
        <v>25</v>
      </c>
      <c r="I150" s="8" t="str">
        <f>VLOOKUP(A150,'[1]Data-Upd'!$A:$G,7,FALSE)</f>
        <v>Stores</v>
      </c>
      <c r="J150" s="1" t="s">
        <v>868</v>
      </c>
      <c r="K150" s="23" t="s">
        <v>869</v>
      </c>
      <c r="L150" s="43">
        <v>45901.414583333331</v>
      </c>
      <c r="M150" s="8" t="s">
        <v>870</v>
      </c>
      <c r="N150" s="8"/>
      <c r="O150" s="8" t="s">
        <v>871</v>
      </c>
      <c r="P150" s="1" t="s">
        <v>219</v>
      </c>
      <c r="Q150" s="46" t="s">
        <v>872</v>
      </c>
      <c r="R150" s="46" t="s">
        <v>440</v>
      </c>
      <c r="S150" s="46" t="s">
        <v>430</v>
      </c>
      <c r="T150" s="46" t="s">
        <v>440</v>
      </c>
      <c r="U150" s="46" t="s">
        <v>449</v>
      </c>
    </row>
    <row r="151" spans="1:21">
      <c r="A151" s="3" t="s">
        <v>873</v>
      </c>
      <c r="B151" s="14"/>
      <c r="C151" s="21">
        <v>45903</v>
      </c>
      <c r="D151" s="30">
        <v>0.43472222222222223</v>
      </c>
      <c r="E151" s="8" t="s">
        <v>874</v>
      </c>
      <c r="F151" s="3" t="s">
        <v>32</v>
      </c>
      <c r="G151" s="26" t="s">
        <v>24</v>
      </c>
      <c r="H151" s="8" t="s">
        <v>55</v>
      </c>
      <c r="I151" s="8" t="str">
        <f>VLOOKUP(A151,'[1]Data-Upd'!$A:$G,7,FALSE)</f>
        <v>Online</v>
      </c>
      <c r="J151" s="2" t="s">
        <v>875</v>
      </c>
      <c r="K151" s="23" t="s">
        <v>876</v>
      </c>
      <c r="L151" s="43">
        <v>45907.416666666664</v>
      </c>
      <c r="M151" s="8" t="s">
        <v>877</v>
      </c>
      <c r="N151" s="8"/>
      <c r="O151" s="8" t="s">
        <v>312</v>
      </c>
      <c r="P151" s="1" t="s">
        <v>219</v>
      </c>
      <c r="Q151" s="46" t="s">
        <v>878</v>
      </c>
      <c r="R151" s="46">
        <v>0</v>
      </c>
      <c r="S151" s="46">
        <v>0</v>
      </c>
      <c r="T151" s="46">
        <v>0</v>
      </c>
      <c r="U151" s="46" t="s">
        <v>492</v>
      </c>
    </row>
    <row r="152" spans="1:21">
      <c r="A152" s="3" t="s">
        <v>879</v>
      </c>
      <c r="B152" s="14"/>
      <c r="C152" s="45">
        <v>45903</v>
      </c>
      <c r="D152" s="30">
        <v>0.43472222222222223</v>
      </c>
      <c r="E152" s="2" t="s">
        <v>880</v>
      </c>
      <c r="F152" s="3" t="s">
        <v>32</v>
      </c>
      <c r="G152" s="26" t="s">
        <v>24</v>
      </c>
      <c r="H152" s="8" t="s">
        <v>55</v>
      </c>
      <c r="I152" s="8" t="str">
        <f>VLOOKUP(A152,'[1]Data-Upd'!$A:$G,7,FALSE)</f>
        <v>Online</v>
      </c>
      <c r="J152" s="2" t="s">
        <v>881</v>
      </c>
      <c r="K152" s="23" t="s">
        <v>882</v>
      </c>
      <c r="L152" s="43">
        <v>45906.409722222219</v>
      </c>
      <c r="M152" s="8" t="s">
        <v>537</v>
      </c>
      <c r="N152" s="8" t="s">
        <v>883</v>
      </c>
      <c r="O152" s="8" t="s">
        <v>455</v>
      </c>
      <c r="P152" s="1" t="s">
        <v>219</v>
      </c>
      <c r="Q152" s="46" t="s">
        <v>884</v>
      </c>
      <c r="R152" s="46">
        <v>0</v>
      </c>
      <c r="S152" s="46">
        <v>0</v>
      </c>
      <c r="T152" s="46">
        <v>0</v>
      </c>
      <c r="U152" s="46" t="s">
        <v>431</v>
      </c>
    </row>
    <row r="153" spans="1:21">
      <c r="A153" s="3" t="s">
        <v>885</v>
      </c>
      <c r="B153" s="14"/>
      <c r="C153" s="21">
        <v>45903</v>
      </c>
      <c r="D153" s="30">
        <v>0.55763888888888891</v>
      </c>
      <c r="E153" s="8" t="s">
        <v>886</v>
      </c>
      <c r="F153" s="3" t="s">
        <v>32</v>
      </c>
      <c r="G153" s="3" t="s">
        <v>24</v>
      </c>
      <c r="H153" s="8" t="s">
        <v>731</v>
      </c>
      <c r="I153" s="8" t="str">
        <f>VLOOKUP(A153,'[1]Data-Upd'!$A:$G,7,FALSE)</f>
        <v>Food</v>
      </c>
      <c r="J153" s="1" t="s">
        <v>887</v>
      </c>
      <c r="K153" s="23" t="s">
        <v>888</v>
      </c>
      <c r="L153" s="43">
        <v>45903.6875</v>
      </c>
      <c r="M153" s="8" t="s">
        <v>889</v>
      </c>
      <c r="N153" s="8"/>
      <c r="O153" s="8" t="s">
        <v>734</v>
      </c>
      <c r="P153" s="1" t="s">
        <v>219</v>
      </c>
      <c r="Q153" s="46" t="s">
        <v>890</v>
      </c>
      <c r="R153" s="46" t="s">
        <v>440</v>
      </c>
      <c r="S153" s="46" t="s">
        <v>430</v>
      </c>
      <c r="T153" s="46" t="s">
        <v>440</v>
      </c>
      <c r="U153" s="46" t="s">
        <v>647</v>
      </c>
    </row>
    <row r="154" spans="1:21">
      <c r="A154" s="3" t="s">
        <v>891</v>
      </c>
      <c r="B154" s="14"/>
      <c r="C154" s="45">
        <v>45904</v>
      </c>
      <c r="D154" s="30">
        <v>0.4513888888888889</v>
      </c>
      <c r="E154" s="8" t="s">
        <v>892</v>
      </c>
      <c r="F154" s="3" t="s">
        <v>32</v>
      </c>
      <c r="G154" s="3" t="s">
        <v>24</v>
      </c>
      <c r="H154" s="8" t="s">
        <v>25</v>
      </c>
      <c r="I154" s="8" t="str">
        <f>VLOOKUP(A154,'[1]Data-Upd'!$A:$G,7,FALSE)</f>
        <v>Stores</v>
      </c>
      <c r="J154" s="1" t="s">
        <v>893</v>
      </c>
      <c r="K154" s="33" t="s">
        <v>894</v>
      </c>
      <c r="L154" s="43">
        <v>45905.583333333336</v>
      </c>
      <c r="M154" s="8" t="s">
        <v>895</v>
      </c>
      <c r="N154" s="8"/>
      <c r="O154" s="8" t="s">
        <v>43</v>
      </c>
      <c r="P154" s="1" t="s">
        <v>213</v>
      </c>
      <c r="Q154" s="46" t="s">
        <v>896</v>
      </c>
      <c r="R154" s="46" t="s">
        <v>440</v>
      </c>
      <c r="S154" s="46">
        <v>0</v>
      </c>
      <c r="T154" s="46">
        <v>0</v>
      </c>
      <c r="U154" s="46" t="s">
        <v>457</v>
      </c>
    </row>
    <row r="155" spans="1:21">
      <c r="A155" s="21" t="s">
        <v>897</v>
      </c>
      <c r="B155" s="14"/>
      <c r="C155" s="45">
        <v>45904</v>
      </c>
      <c r="D155" s="30">
        <v>0.56597222222222221</v>
      </c>
      <c r="E155" s="8" t="s">
        <v>898</v>
      </c>
      <c r="F155" s="3" t="s">
        <v>23</v>
      </c>
      <c r="G155" s="3" t="s">
        <v>24</v>
      </c>
      <c r="H155" s="8" t="s">
        <v>899</v>
      </c>
      <c r="I155" s="8" t="str">
        <f>VLOOKUP(A155,'[1]Data-Upd'!$A:$G,7,FALSE)</f>
        <v>Stores</v>
      </c>
      <c r="J155" s="1" t="s">
        <v>900</v>
      </c>
      <c r="K155" s="33" t="s">
        <v>901</v>
      </c>
      <c r="L155" s="43">
        <v>45905.46597222222</v>
      </c>
      <c r="M155" s="8" t="s">
        <v>902</v>
      </c>
      <c r="N155" s="8"/>
      <c r="O155" s="8" t="s">
        <v>903</v>
      </c>
      <c r="P155" s="1" t="s">
        <v>219</v>
      </c>
      <c r="Q155" s="46" t="s">
        <v>904</v>
      </c>
      <c r="R155" s="46" t="s">
        <v>430</v>
      </c>
      <c r="S155" s="46">
        <v>0</v>
      </c>
      <c r="T155" s="46">
        <v>0</v>
      </c>
      <c r="U155" s="46" t="s">
        <v>539</v>
      </c>
    </row>
    <row r="156" spans="1:21">
      <c r="A156" s="3" t="s">
        <v>905</v>
      </c>
      <c r="B156" s="14"/>
      <c r="C156" s="45">
        <v>45904</v>
      </c>
      <c r="D156" s="30">
        <v>0.65277777777777779</v>
      </c>
      <c r="E156" s="8" t="s">
        <v>906</v>
      </c>
      <c r="F156" s="3" t="s">
        <v>32</v>
      </c>
      <c r="G156" s="3" t="s">
        <v>24</v>
      </c>
      <c r="H156" s="8" t="s">
        <v>907</v>
      </c>
      <c r="I156" s="8" t="str">
        <f>VLOOKUP(A156,'[1]Data-Upd'!$A:$G,7,FALSE)</f>
        <v>Infrastructure</v>
      </c>
      <c r="J156" s="1" t="s">
        <v>908</v>
      </c>
      <c r="K156" s="23" t="s">
        <v>909</v>
      </c>
      <c r="L156" s="43">
        <v>45904.708333333336</v>
      </c>
      <c r="M156" s="8" t="s">
        <v>68</v>
      </c>
      <c r="N156" s="8"/>
      <c r="O156" s="8" t="s">
        <v>910</v>
      </c>
      <c r="P156" s="1" t="s">
        <v>213</v>
      </c>
      <c r="Q156" s="46" t="s">
        <v>911</v>
      </c>
      <c r="R156" s="46">
        <v>0</v>
      </c>
      <c r="S156" s="46">
        <v>0</v>
      </c>
      <c r="T156" s="46">
        <v>0</v>
      </c>
      <c r="U156" s="46" t="s">
        <v>457</v>
      </c>
    </row>
    <row r="157" spans="1:21">
      <c r="A157" s="3" t="s">
        <v>912</v>
      </c>
      <c r="B157" s="14" t="s">
        <v>913</v>
      </c>
      <c r="C157" s="21">
        <v>45906</v>
      </c>
      <c r="D157" s="30">
        <v>0.70833333333333337</v>
      </c>
      <c r="E157" s="8" t="s">
        <v>914</v>
      </c>
      <c r="F157" s="3" t="s">
        <v>23</v>
      </c>
      <c r="G157" s="26" t="s">
        <v>24</v>
      </c>
      <c r="H157" s="8" t="s">
        <v>25</v>
      </c>
      <c r="I157" s="8" t="str">
        <f>VLOOKUP(A157,'[1]Data-Upd'!$A:$G,7,FALSE)</f>
        <v>Stores</v>
      </c>
      <c r="J157" s="1" t="s">
        <v>915</v>
      </c>
      <c r="K157" s="33" t="s">
        <v>916</v>
      </c>
      <c r="L157" s="43">
        <v>45909.65625</v>
      </c>
      <c r="M157" s="8" t="s">
        <v>68</v>
      </c>
      <c r="N157" s="8"/>
      <c r="O157" s="8" t="s">
        <v>43</v>
      </c>
      <c r="P157" s="1" t="s">
        <v>213</v>
      </c>
      <c r="Q157" s="46" t="s">
        <v>917</v>
      </c>
      <c r="R157" s="46" t="s">
        <v>440</v>
      </c>
      <c r="S157" s="46" t="s">
        <v>440</v>
      </c>
      <c r="T157" s="46">
        <v>0</v>
      </c>
      <c r="U157" s="46" t="s">
        <v>431</v>
      </c>
    </row>
    <row r="158" spans="1:21">
      <c r="A158" s="3" t="s">
        <v>918</v>
      </c>
      <c r="B158" s="14"/>
      <c r="C158" s="21">
        <v>45908</v>
      </c>
      <c r="D158" s="30">
        <v>0.10416666666666667</v>
      </c>
      <c r="E158" s="8" t="s">
        <v>919</v>
      </c>
      <c r="F158" s="3" t="s">
        <v>32</v>
      </c>
      <c r="G158" s="3" t="s">
        <v>24</v>
      </c>
      <c r="H158" s="8" t="s">
        <v>920</v>
      </c>
      <c r="I158" s="8" t="str">
        <f>VLOOKUP(A158,'[1]Data-Upd'!$A:$G,7,FALSE)</f>
        <v>Loyalty</v>
      </c>
      <c r="J158" s="1" t="s">
        <v>921</v>
      </c>
      <c r="K158" s="23" t="s">
        <v>922</v>
      </c>
      <c r="L158" s="43">
        <v>45908.676388888889</v>
      </c>
      <c r="M158" s="8" t="s">
        <v>68</v>
      </c>
      <c r="N158" s="8"/>
      <c r="O158" s="8" t="s">
        <v>455</v>
      </c>
      <c r="P158" s="1" t="s">
        <v>213</v>
      </c>
      <c r="Q158" s="46" t="s">
        <v>923</v>
      </c>
      <c r="R158" s="46">
        <v>0</v>
      </c>
      <c r="S158" s="46">
        <v>0</v>
      </c>
      <c r="T158" s="46">
        <v>0</v>
      </c>
      <c r="U158" s="46" t="s">
        <v>457</v>
      </c>
    </row>
    <row r="159" spans="1:21">
      <c r="A159" s="3" t="s">
        <v>924</v>
      </c>
      <c r="B159" s="14"/>
      <c r="C159" s="21">
        <v>45908</v>
      </c>
      <c r="D159" s="30">
        <v>0.51666666666666672</v>
      </c>
      <c r="E159" s="8" t="s">
        <v>925</v>
      </c>
      <c r="F159" s="3" t="s">
        <v>23</v>
      </c>
      <c r="G159" s="3" t="s">
        <v>24</v>
      </c>
      <c r="H159" s="8" t="s">
        <v>55</v>
      </c>
      <c r="I159" s="8" t="str">
        <f>VLOOKUP(A159,'[1]Data-Upd'!$A:$G,7,FALSE)</f>
        <v>Online</v>
      </c>
      <c r="J159" s="1" t="s">
        <v>926</v>
      </c>
      <c r="K159" s="23" t="s">
        <v>927</v>
      </c>
      <c r="L159" s="11">
        <v>45908.55</v>
      </c>
      <c r="M159" s="8" t="s">
        <v>428</v>
      </c>
      <c r="N159" s="46" t="s">
        <v>928</v>
      </c>
      <c r="O159" s="8" t="s">
        <v>910</v>
      </c>
      <c r="P159" s="1" t="s">
        <v>213</v>
      </c>
      <c r="Q159" s="46" t="s">
        <v>929</v>
      </c>
      <c r="R159" s="46">
        <v>0</v>
      </c>
      <c r="S159" s="46">
        <v>0</v>
      </c>
      <c r="T159" s="46">
        <v>0</v>
      </c>
      <c r="U159" s="46" t="s">
        <v>457</v>
      </c>
    </row>
    <row r="160" spans="1:21">
      <c r="A160" s="3" t="s">
        <v>930</v>
      </c>
      <c r="B160" s="14"/>
      <c r="C160" s="21">
        <v>45908</v>
      </c>
      <c r="D160" s="30">
        <v>0.53819444444444442</v>
      </c>
      <c r="E160" s="8" t="s">
        <v>931</v>
      </c>
      <c r="F160" s="3" t="s">
        <v>32</v>
      </c>
      <c r="G160" s="3" t="s">
        <v>24</v>
      </c>
      <c r="H160" s="8" t="s">
        <v>55</v>
      </c>
      <c r="I160" s="8" t="str">
        <f>VLOOKUP(A160,'[1]Data-Upd'!$A:$G,7,FALSE)</f>
        <v>Online</v>
      </c>
      <c r="J160" s="2" t="s">
        <v>932</v>
      </c>
      <c r="K160" s="23" t="s">
        <v>933</v>
      </c>
      <c r="L160" s="43">
        <v>45908.634722222225</v>
      </c>
      <c r="M160" s="8" t="s">
        <v>934</v>
      </c>
      <c r="N160" s="8"/>
      <c r="O160" s="8" t="s">
        <v>455</v>
      </c>
      <c r="P160" s="1" t="s">
        <v>219</v>
      </c>
      <c r="Q160" s="46" t="s">
        <v>935</v>
      </c>
      <c r="R160" s="46">
        <v>0</v>
      </c>
      <c r="S160" s="46">
        <v>0</v>
      </c>
      <c r="T160" s="46">
        <v>0</v>
      </c>
      <c r="U160" s="46" t="s">
        <v>431</v>
      </c>
    </row>
    <row r="161" spans="1:21">
      <c r="A161" s="3" t="s">
        <v>936</v>
      </c>
      <c r="B161" s="14"/>
      <c r="C161" s="21">
        <v>45908</v>
      </c>
      <c r="D161" s="30">
        <v>0.55138888888888893</v>
      </c>
      <c r="E161" s="8" t="s">
        <v>937</v>
      </c>
      <c r="F161" s="3" t="s">
        <v>23</v>
      </c>
      <c r="G161" s="3" t="s">
        <v>24</v>
      </c>
      <c r="H161" s="8" t="s">
        <v>25</v>
      </c>
      <c r="I161" s="8" t="str">
        <f>VLOOKUP(A161,'[1]Data-Upd'!$A:$G,7,FALSE)</f>
        <v>Stores</v>
      </c>
      <c r="J161" s="2" t="s">
        <v>938</v>
      </c>
      <c r="K161" s="23" t="s">
        <v>939</v>
      </c>
      <c r="L161" s="43">
        <v>45908.634722222225</v>
      </c>
      <c r="M161" s="8" t="s">
        <v>940</v>
      </c>
      <c r="N161" s="8"/>
      <c r="O161" s="8" t="s">
        <v>43</v>
      </c>
      <c r="P161" s="1" t="s">
        <v>219</v>
      </c>
      <c r="Q161" s="46" t="s">
        <v>935</v>
      </c>
      <c r="R161" s="46" t="s">
        <v>430</v>
      </c>
      <c r="S161" s="46">
        <v>0</v>
      </c>
      <c r="T161" s="46">
        <v>0</v>
      </c>
      <c r="U161" s="46" t="s">
        <v>431</v>
      </c>
    </row>
    <row r="162" spans="1:21">
      <c r="A162" s="3" t="s">
        <v>941</v>
      </c>
      <c r="B162" s="14" t="s">
        <v>942</v>
      </c>
      <c r="C162" s="21">
        <v>45910</v>
      </c>
      <c r="D162" s="30">
        <v>0.46736111111111112</v>
      </c>
      <c r="E162" s="33" t="s">
        <v>943</v>
      </c>
      <c r="F162" s="3" t="s">
        <v>23</v>
      </c>
      <c r="G162" s="3" t="s">
        <v>24</v>
      </c>
      <c r="H162" s="8" t="s">
        <v>25</v>
      </c>
      <c r="I162" s="8" t="str">
        <f>VLOOKUP(A162,'[1]Data-Upd'!$A:$G,7,FALSE)</f>
        <v>Stores</v>
      </c>
      <c r="J162" s="1" t="s">
        <v>944</v>
      </c>
      <c r="K162" s="23" t="s">
        <v>945</v>
      </c>
      <c r="L162" s="43">
        <v>45911.416666666664</v>
      </c>
      <c r="M162" s="8" t="s">
        <v>946</v>
      </c>
      <c r="N162" s="8"/>
      <c r="O162" s="8" t="s">
        <v>947</v>
      </c>
      <c r="P162" s="1" t="s">
        <v>219</v>
      </c>
      <c r="Q162" s="46" t="s">
        <v>948</v>
      </c>
      <c r="R162" s="46" t="s">
        <v>440</v>
      </c>
      <c r="S162" s="46" t="s">
        <v>440</v>
      </c>
      <c r="T162" s="46">
        <v>0</v>
      </c>
      <c r="U162" s="46" t="s">
        <v>431</v>
      </c>
    </row>
    <row r="163" spans="1:21">
      <c r="A163" s="3" t="s">
        <v>949</v>
      </c>
      <c r="B163" s="14"/>
      <c r="C163" s="21">
        <v>45912</v>
      </c>
      <c r="D163" s="30">
        <v>0.27083333333333331</v>
      </c>
      <c r="E163" s="8" t="s">
        <v>950</v>
      </c>
      <c r="F163" s="3" t="s">
        <v>23</v>
      </c>
      <c r="G163" s="3" t="s">
        <v>24</v>
      </c>
      <c r="H163" s="8" t="s">
        <v>731</v>
      </c>
      <c r="I163" s="8" t="str">
        <f>VLOOKUP(A163,'[1]Data-Upd'!$A:$G,7,FALSE)</f>
        <v>Food</v>
      </c>
      <c r="J163" s="1" t="s">
        <v>951</v>
      </c>
      <c r="K163" s="23" t="s">
        <v>952</v>
      </c>
      <c r="L163" s="43">
        <v>45913.28125</v>
      </c>
      <c r="M163" s="8" t="s">
        <v>681</v>
      </c>
      <c r="N163" s="8"/>
      <c r="O163" s="8" t="s">
        <v>953</v>
      </c>
      <c r="P163" s="1" t="s">
        <v>219</v>
      </c>
      <c r="Q163" s="46" t="s">
        <v>954</v>
      </c>
      <c r="R163" s="46" t="s">
        <v>440</v>
      </c>
      <c r="S163" s="46" t="s">
        <v>430</v>
      </c>
      <c r="T163" s="46" t="s">
        <v>440</v>
      </c>
      <c r="U163" s="46" t="s">
        <v>684</v>
      </c>
    </row>
    <row r="164" spans="1:21">
      <c r="A164" s="3" t="s">
        <v>955</v>
      </c>
      <c r="B164" s="14" t="s">
        <v>956</v>
      </c>
      <c r="C164" s="21">
        <v>45912</v>
      </c>
      <c r="D164" s="30">
        <v>0.83333333333333337</v>
      </c>
      <c r="E164" s="8" t="s">
        <v>957</v>
      </c>
      <c r="F164" s="3" t="s">
        <v>23</v>
      </c>
      <c r="G164" s="3" t="s">
        <v>24</v>
      </c>
      <c r="H164" s="8" t="s">
        <v>103</v>
      </c>
      <c r="I164" s="8" t="str">
        <f>VLOOKUP(A164,'[1]Data-Upd'!$A:$G,7,FALSE)</f>
        <v>Supply Chain</v>
      </c>
      <c r="J164" s="1" t="s">
        <v>958</v>
      </c>
      <c r="K164" s="23" t="s">
        <v>959</v>
      </c>
      <c r="L164" s="43">
        <v>45913.425000000003</v>
      </c>
      <c r="M164" s="8" t="s">
        <v>537</v>
      </c>
      <c r="N164" s="8"/>
      <c r="O164" s="8" t="s">
        <v>138</v>
      </c>
      <c r="P164" s="1" t="s">
        <v>219</v>
      </c>
      <c r="Q164" s="46" t="s">
        <v>960</v>
      </c>
      <c r="R164" s="46">
        <v>0</v>
      </c>
      <c r="S164" s="46">
        <v>0</v>
      </c>
      <c r="T164" s="46">
        <v>0</v>
      </c>
      <c r="U164" s="46" t="s">
        <v>479</v>
      </c>
    </row>
    <row r="165" spans="1:21">
      <c r="A165" s="3" t="s">
        <v>961</v>
      </c>
      <c r="B165" s="14"/>
      <c r="C165" s="21">
        <v>45913</v>
      </c>
      <c r="D165" s="30">
        <v>0.38541666666666669</v>
      </c>
      <c r="E165" s="8" t="s">
        <v>962</v>
      </c>
      <c r="F165" s="3" t="s">
        <v>32</v>
      </c>
      <c r="G165" s="3" t="s">
        <v>24</v>
      </c>
      <c r="H165" s="8" t="s">
        <v>963</v>
      </c>
      <c r="I165" s="8" t="str">
        <f>VLOOKUP(A165,'[1]Data-Upd'!$A:$G,7,FALSE)</f>
        <v>Finance</v>
      </c>
      <c r="J165" s="1" t="s">
        <v>964</v>
      </c>
      <c r="K165" s="25" t="s">
        <v>965</v>
      </c>
      <c r="L165" s="48">
        <v>45922.430555555555</v>
      </c>
      <c r="M165" s="8" t="s">
        <v>966</v>
      </c>
      <c r="N165" s="8"/>
      <c r="O165" s="8" t="s">
        <v>785</v>
      </c>
      <c r="P165" s="1" t="s">
        <v>219</v>
      </c>
      <c r="Q165" s="46" t="s">
        <v>967</v>
      </c>
      <c r="R165" s="46" t="s">
        <v>440</v>
      </c>
      <c r="S165" s="46" t="s">
        <v>430</v>
      </c>
      <c r="T165" s="46" t="s">
        <v>440</v>
      </c>
      <c r="U165" s="46" t="s">
        <v>539</v>
      </c>
    </row>
    <row r="166" spans="1:21">
      <c r="A166" s="3" t="s">
        <v>968</v>
      </c>
      <c r="B166" s="14"/>
      <c r="C166" s="21">
        <v>45914</v>
      </c>
      <c r="D166" s="30">
        <v>0.47222222222222221</v>
      </c>
      <c r="E166" s="8" t="s">
        <v>969</v>
      </c>
      <c r="F166" s="3" t="s">
        <v>32</v>
      </c>
      <c r="G166" s="3" t="s">
        <v>24</v>
      </c>
      <c r="H166" s="8" t="s">
        <v>970</v>
      </c>
      <c r="I166" s="8" t="str">
        <f>VLOOKUP(A166,'[1]Data-Upd'!$A:$G,7,FALSE)</f>
        <v>Finance</v>
      </c>
      <c r="J166" s="1" t="s">
        <v>971</v>
      </c>
      <c r="K166" s="25" t="s">
        <v>972</v>
      </c>
      <c r="L166" s="48">
        <v>45924.708333333336</v>
      </c>
      <c r="M166" s="8" t="s">
        <v>973</v>
      </c>
      <c r="N166" s="8"/>
      <c r="O166" s="8" t="s">
        <v>974</v>
      </c>
      <c r="P166" s="1" t="s">
        <v>213</v>
      </c>
      <c r="Q166" s="46" t="s">
        <v>975</v>
      </c>
      <c r="R166" s="46" t="s">
        <v>440</v>
      </c>
      <c r="S166" s="46" t="s">
        <v>430</v>
      </c>
      <c r="T166" s="46" t="s">
        <v>440</v>
      </c>
      <c r="U166" s="46" t="s">
        <v>684</v>
      </c>
    </row>
    <row r="167" spans="1:21">
      <c r="A167" s="3" t="s">
        <v>976</v>
      </c>
      <c r="B167" s="14"/>
      <c r="C167" s="21">
        <v>45914</v>
      </c>
      <c r="D167" s="30">
        <v>0.71875</v>
      </c>
      <c r="E167" s="8" t="s">
        <v>977</v>
      </c>
      <c r="F167" s="3" t="s">
        <v>32</v>
      </c>
      <c r="G167" s="3" t="s">
        <v>24</v>
      </c>
      <c r="H167" s="8" t="s">
        <v>103</v>
      </c>
      <c r="I167" s="8" t="str">
        <f>VLOOKUP(A167,'[1]Data-Upd'!$A:$G,7,FALSE)</f>
        <v>Online</v>
      </c>
      <c r="J167" s="2" t="s">
        <v>978</v>
      </c>
      <c r="K167" s="33" t="s">
        <v>979</v>
      </c>
      <c r="L167" s="43">
        <v>45915.555555555555</v>
      </c>
      <c r="M167" s="8" t="s">
        <v>980</v>
      </c>
      <c r="N167" s="8"/>
      <c r="O167" s="8" t="s">
        <v>741</v>
      </c>
      <c r="P167" s="1" t="s">
        <v>219</v>
      </c>
      <c r="Q167" s="46" t="s">
        <v>981</v>
      </c>
      <c r="R167" s="46">
        <v>0</v>
      </c>
      <c r="S167" s="46">
        <v>0</v>
      </c>
      <c r="T167" s="46">
        <v>0</v>
      </c>
      <c r="U167" s="46" t="s">
        <v>492</v>
      </c>
    </row>
    <row r="168" spans="1:21">
      <c r="A168" s="3" t="s">
        <v>982</v>
      </c>
      <c r="B168" s="46" t="s">
        <v>983</v>
      </c>
      <c r="C168" s="21">
        <v>45914</v>
      </c>
      <c r="D168" s="30">
        <v>0.87569444444444444</v>
      </c>
      <c r="E168" s="8" t="s">
        <v>984</v>
      </c>
      <c r="F168" s="3" t="s">
        <v>32</v>
      </c>
      <c r="G168" s="3" t="s">
        <v>24</v>
      </c>
      <c r="H168" s="8" t="s">
        <v>103</v>
      </c>
      <c r="I168" s="8" t="str">
        <f>VLOOKUP(A168,'[1]Data-Upd'!$A:$G,7,FALSE)</f>
        <v>Supply Chain</v>
      </c>
      <c r="J168" s="1" t="s">
        <v>985</v>
      </c>
      <c r="K168" s="23" t="s">
        <v>986</v>
      </c>
      <c r="L168" s="43">
        <v>45918.416666666664</v>
      </c>
      <c r="M168" s="8" t="s">
        <v>987</v>
      </c>
      <c r="N168" s="8"/>
      <c r="O168" s="8" t="s">
        <v>988</v>
      </c>
      <c r="P168" s="1" t="s">
        <v>219</v>
      </c>
      <c r="Q168" s="46" t="s">
        <v>989</v>
      </c>
      <c r="R168" s="46" t="s">
        <v>440</v>
      </c>
      <c r="S168" s="46" t="s">
        <v>440</v>
      </c>
      <c r="T168" s="46">
        <v>0</v>
      </c>
      <c r="U168" s="46" t="s">
        <v>431</v>
      </c>
    </row>
    <row r="169" spans="1:21">
      <c r="A169" s="3" t="s">
        <v>990</v>
      </c>
      <c r="B169" s="14"/>
      <c r="C169" s="21">
        <v>45915</v>
      </c>
      <c r="D169" s="30">
        <v>0.67777777777777781</v>
      </c>
      <c r="E169" s="8" t="s">
        <v>991</v>
      </c>
      <c r="F169" s="3" t="s">
        <v>32</v>
      </c>
      <c r="G169" s="3" t="s">
        <v>24</v>
      </c>
      <c r="H169" s="8" t="s">
        <v>55</v>
      </c>
      <c r="I169" s="8" t="str">
        <f>VLOOKUP(A169,'[1]Data-Upd'!$A:$G,7,FALSE)</f>
        <v>Online</v>
      </c>
      <c r="J169" s="1" t="s">
        <v>992</v>
      </c>
      <c r="K169" s="33" t="s">
        <v>993</v>
      </c>
      <c r="L169" s="47">
        <v>45916.444444444445</v>
      </c>
      <c r="M169" s="8" t="s">
        <v>994</v>
      </c>
      <c r="N169" s="8"/>
      <c r="O169" s="8" t="s">
        <v>312</v>
      </c>
      <c r="P169" s="1" t="s">
        <v>219</v>
      </c>
      <c r="Q169" s="46" t="s">
        <v>995</v>
      </c>
      <c r="R169" s="46">
        <v>0</v>
      </c>
      <c r="S169" s="46">
        <v>0</v>
      </c>
      <c r="T169" s="46">
        <v>0</v>
      </c>
      <c r="U169" s="46" t="s">
        <v>431</v>
      </c>
    </row>
    <row r="170" spans="1:21">
      <c r="A170" s="3" t="s">
        <v>996</v>
      </c>
      <c r="B170" s="2" t="s">
        <v>997</v>
      </c>
      <c r="C170" s="21">
        <v>45915</v>
      </c>
      <c r="D170" s="30">
        <v>0.875</v>
      </c>
      <c r="E170" s="8" t="s">
        <v>998</v>
      </c>
      <c r="F170" s="3" t="s">
        <v>23</v>
      </c>
      <c r="G170" s="3" t="s">
        <v>24</v>
      </c>
      <c r="H170" s="8" t="s">
        <v>25</v>
      </c>
      <c r="I170" s="8" t="str">
        <f>VLOOKUP(A170,'[1]Data-Upd'!$A:$G,7,FALSE)</f>
        <v>Stores</v>
      </c>
      <c r="J170" s="1" t="s">
        <v>999</v>
      </c>
      <c r="K170" s="23" t="s">
        <v>1000</v>
      </c>
      <c r="L170" s="47">
        <v>45919.805555555555</v>
      </c>
      <c r="M170" s="8" t="s">
        <v>229</v>
      </c>
      <c r="N170" s="8"/>
      <c r="O170" s="8" t="s">
        <v>1001</v>
      </c>
      <c r="P170" s="1" t="s">
        <v>219</v>
      </c>
      <c r="Q170" s="46" t="s">
        <v>1002</v>
      </c>
      <c r="R170" s="46" t="s">
        <v>440</v>
      </c>
      <c r="S170" s="46" t="s">
        <v>430</v>
      </c>
      <c r="T170" s="46">
        <v>0</v>
      </c>
      <c r="U170" s="46" t="s">
        <v>449</v>
      </c>
    </row>
    <row r="171" spans="1:21">
      <c r="A171" s="3" t="s">
        <v>1003</v>
      </c>
      <c r="B171" s="14" t="s">
        <v>1004</v>
      </c>
      <c r="C171" s="45">
        <v>45916</v>
      </c>
      <c r="D171" s="22">
        <v>0.40416666666666667</v>
      </c>
      <c r="E171" s="8" t="s">
        <v>1005</v>
      </c>
      <c r="F171" s="26" t="s">
        <v>32</v>
      </c>
      <c r="G171" s="3" t="s">
        <v>24</v>
      </c>
      <c r="H171" s="8" t="s">
        <v>384</v>
      </c>
      <c r="I171" s="8" t="str">
        <f>VLOOKUP(A171,'[1]Data-Upd'!$A:$G,7,FALSE)</f>
        <v>FH&amp;B</v>
      </c>
      <c r="J171" s="1" t="s">
        <v>1006</v>
      </c>
      <c r="K171" s="33" t="s">
        <v>1007</v>
      </c>
      <c r="L171" s="43">
        <v>45917.394444444442</v>
      </c>
      <c r="M171" s="8" t="s">
        <v>1008</v>
      </c>
      <c r="N171" s="8"/>
      <c r="O171" s="14" t="s">
        <v>1009</v>
      </c>
      <c r="P171" s="1" t="s">
        <v>219</v>
      </c>
      <c r="Q171" s="46" t="s">
        <v>1010</v>
      </c>
      <c r="R171" s="46" t="s">
        <v>440</v>
      </c>
      <c r="S171" s="46" t="s">
        <v>440</v>
      </c>
      <c r="T171" s="46" t="s">
        <v>440</v>
      </c>
      <c r="U171" s="46" t="s">
        <v>213</v>
      </c>
    </row>
    <row r="172" spans="1:21">
      <c r="A172" s="3" t="s">
        <v>1011</v>
      </c>
      <c r="B172" s="14" t="s">
        <v>1012</v>
      </c>
      <c r="C172" s="45">
        <v>45916</v>
      </c>
      <c r="D172" s="22">
        <v>0.61597222222222225</v>
      </c>
      <c r="E172" s="8" t="s">
        <v>1013</v>
      </c>
      <c r="F172" s="26" t="s">
        <v>32</v>
      </c>
      <c r="G172" s="3" t="s">
        <v>24</v>
      </c>
      <c r="H172" s="8" t="s">
        <v>1014</v>
      </c>
      <c r="I172" s="8" t="str">
        <f>VLOOKUP(A172,'[1]Data-Upd'!$A:$G,7,FALSE)</f>
        <v>Stores</v>
      </c>
      <c r="J172" s="1" t="s">
        <v>1015</v>
      </c>
      <c r="K172" s="33" t="s">
        <v>1016</v>
      </c>
      <c r="L172" s="43">
        <v>45917.354166666664</v>
      </c>
      <c r="M172" s="8" t="s">
        <v>1017</v>
      </c>
      <c r="N172" s="8"/>
      <c r="O172" s="14" t="s">
        <v>1018</v>
      </c>
      <c r="P172" s="1" t="s">
        <v>219</v>
      </c>
      <c r="Q172" s="46" t="s">
        <v>1019</v>
      </c>
      <c r="R172" s="46" t="s">
        <v>440</v>
      </c>
      <c r="S172" s="46" t="s">
        <v>430</v>
      </c>
      <c r="T172" s="46" t="s">
        <v>440</v>
      </c>
      <c r="U172" s="46" t="s">
        <v>449</v>
      </c>
    </row>
    <row r="173" spans="1:21">
      <c r="A173" s="3" t="s">
        <v>1020</v>
      </c>
      <c r="B173" s="2" t="s">
        <v>1021</v>
      </c>
      <c r="C173" s="45">
        <v>45916</v>
      </c>
      <c r="D173" s="22">
        <v>0.75555555555555554</v>
      </c>
      <c r="E173" s="8" t="s">
        <v>1022</v>
      </c>
      <c r="F173" s="26" t="s">
        <v>23</v>
      </c>
      <c r="G173" s="3" t="s">
        <v>24</v>
      </c>
      <c r="H173" s="8" t="s">
        <v>25</v>
      </c>
      <c r="I173" s="8" t="str">
        <f>VLOOKUP(A173,'[1]Data-Upd'!$A:$G,7,FALSE)</f>
        <v>Stores</v>
      </c>
      <c r="J173" s="1" t="s">
        <v>1023</v>
      </c>
      <c r="K173" s="23" t="s">
        <v>1024</v>
      </c>
      <c r="L173" s="43">
        <v>45916.777777777781</v>
      </c>
      <c r="M173" s="8" t="s">
        <v>1025</v>
      </c>
      <c r="N173" s="8" t="s">
        <v>1026</v>
      </c>
      <c r="O173" s="14" t="s">
        <v>903</v>
      </c>
      <c r="P173" s="1"/>
      <c r="Q173" s="46" t="s">
        <v>1027</v>
      </c>
      <c r="R173" s="46" t="s">
        <v>440</v>
      </c>
      <c r="S173" s="46" t="s">
        <v>440</v>
      </c>
      <c r="T173" s="46">
        <v>0</v>
      </c>
      <c r="U173" s="46" t="s">
        <v>506</v>
      </c>
    </row>
    <row r="174" spans="1:21">
      <c r="A174" s="3" t="s">
        <v>1028</v>
      </c>
      <c r="B174" s="1"/>
      <c r="C174" s="21">
        <v>45917</v>
      </c>
      <c r="D174" s="28">
        <v>0.51041666666666663</v>
      </c>
      <c r="E174" s="8" t="s">
        <v>1029</v>
      </c>
      <c r="F174" s="26" t="s">
        <v>32</v>
      </c>
      <c r="G174" s="3" t="s">
        <v>24</v>
      </c>
      <c r="H174" s="2" t="s">
        <v>1030</v>
      </c>
      <c r="I174" s="8" t="str">
        <f>VLOOKUP(A174,'[1]Data-Upd'!$A:$G,7,FALSE)</f>
        <v>Loyalty</v>
      </c>
      <c r="J174" s="1" t="s">
        <v>1031</v>
      </c>
      <c r="K174" s="25" t="s">
        <v>1032</v>
      </c>
      <c r="L174" s="43">
        <v>45918.71875</v>
      </c>
      <c r="M174" s="8" t="s">
        <v>28</v>
      </c>
      <c r="N174" s="8"/>
      <c r="O174" s="8" t="s">
        <v>947</v>
      </c>
      <c r="P174" s="1"/>
      <c r="Q174" s="46" t="s">
        <v>1033</v>
      </c>
      <c r="R174" s="46" t="s">
        <v>440</v>
      </c>
      <c r="S174" s="46" t="s">
        <v>440</v>
      </c>
      <c r="T174" s="46">
        <v>0</v>
      </c>
      <c r="U174" s="46" t="s">
        <v>506</v>
      </c>
    </row>
    <row r="175" spans="1:21">
      <c r="A175" s="3" t="s">
        <v>1034</v>
      </c>
      <c r="B175" s="1"/>
      <c r="C175" s="45">
        <v>45917</v>
      </c>
      <c r="D175" s="28">
        <v>0.73472222222222228</v>
      </c>
      <c r="E175" s="8" t="s">
        <v>1035</v>
      </c>
      <c r="F175" s="3" t="s">
        <v>23</v>
      </c>
      <c r="G175" s="3" t="s">
        <v>24</v>
      </c>
      <c r="H175" s="8" t="s">
        <v>25</v>
      </c>
      <c r="I175" s="8" t="str">
        <f>VLOOKUP(A175,'[1]Data-Upd'!$A:$G,7,FALSE)</f>
        <v>Stores</v>
      </c>
      <c r="J175" s="23" t="s">
        <v>1036</v>
      </c>
      <c r="K175" s="23" t="s">
        <v>1037</v>
      </c>
      <c r="L175" s="43">
        <v>45917.73541666667</v>
      </c>
      <c r="M175" s="8" t="s">
        <v>28</v>
      </c>
      <c r="N175" s="8"/>
      <c r="O175" s="8" t="s">
        <v>947</v>
      </c>
      <c r="P175" s="1" t="s">
        <v>219</v>
      </c>
      <c r="Q175" s="46" t="s">
        <v>1038</v>
      </c>
      <c r="R175" s="46" t="s">
        <v>440</v>
      </c>
      <c r="S175" s="46" t="s">
        <v>440</v>
      </c>
      <c r="T175" s="46">
        <v>0</v>
      </c>
      <c r="U175" s="46" t="s">
        <v>464</v>
      </c>
    </row>
    <row r="176" spans="1:21">
      <c r="A176" s="3" t="s">
        <v>1039</v>
      </c>
      <c r="B176" s="1" t="s">
        <v>1040</v>
      </c>
      <c r="C176" s="45">
        <v>45918</v>
      </c>
      <c r="D176" s="22">
        <v>0.90972222222222221</v>
      </c>
      <c r="E176" s="8" t="s">
        <v>1041</v>
      </c>
      <c r="F176" s="26" t="s">
        <v>32</v>
      </c>
      <c r="G176" s="3" t="s">
        <v>24</v>
      </c>
      <c r="H176" s="8" t="s">
        <v>25</v>
      </c>
      <c r="I176" s="8" t="str">
        <f>VLOOKUP(A176,'[1]Data-Upd'!$A:$G,7,FALSE)</f>
        <v>Food</v>
      </c>
      <c r="J176" s="1" t="s">
        <v>1042</v>
      </c>
      <c r="K176" s="23" t="s">
        <v>1043</v>
      </c>
      <c r="L176" s="43">
        <v>45918.965277777781</v>
      </c>
      <c r="M176" s="8" t="s">
        <v>229</v>
      </c>
      <c r="N176" s="8"/>
      <c r="O176" s="8" t="s">
        <v>43</v>
      </c>
      <c r="P176" s="1"/>
      <c r="Q176" s="46" t="s">
        <v>1044</v>
      </c>
      <c r="R176" s="46" t="s">
        <v>430</v>
      </c>
      <c r="S176" s="46">
        <v>0</v>
      </c>
      <c r="T176" s="46">
        <v>0</v>
      </c>
      <c r="U176" s="46" t="s">
        <v>213</v>
      </c>
    </row>
    <row r="177" spans="1:21">
      <c r="A177" s="3" t="s">
        <v>1045</v>
      </c>
      <c r="B177" s="1"/>
      <c r="C177" s="45">
        <v>45919</v>
      </c>
      <c r="D177" s="22">
        <v>0.23472222222222222</v>
      </c>
      <c r="E177" s="8" t="s">
        <v>1046</v>
      </c>
      <c r="F177" s="26" t="s">
        <v>32</v>
      </c>
      <c r="G177" s="3" t="s">
        <v>24</v>
      </c>
      <c r="H177" s="8" t="s">
        <v>518</v>
      </c>
      <c r="I177" s="8" t="str">
        <f>VLOOKUP(A177,'[1]Data-Upd'!$A:$G,7,FALSE)</f>
        <v>Finance</v>
      </c>
      <c r="J177" s="1" t="s">
        <v>1047</v>
      </c>
      <c r="K177" s="25" t="s">
        <v>1048</v>
      </c>
      <c r="L177" s="49">
        <v>45922.416666666664</v>
      </c>
      <c r="M177" s="8" t="s">
        <v>1049</v>
      </c>
      <c r="N177" s="8"/>
      <c r="O177" s="8" t="s">
        <v>682</v>
      </c>
      <c r="P177" s="1" t="s">
        <v>219</v>
      </c>
      <c r="Q177" s="46" t="s">
        <v>1050</v>
      </c>
      <c r="R177" s="46" t="s">
        <v>440</v>
      </c>
      <c r="S177" s="46" t="s">
        <v>440</v>
      </c>
      <c r="T177" s="46">
        <v>0</v>
      </c>
      <c r="U177" s="46" t="s">
        <v>213</v>
      </c>
    </row>
    <row r="178" spans="1:21">
      <c r="A178" s="3" t="s">
        <v>1051</v>
      </c>
      <c r="B178" s="1" t="s">
        <v>1052</v>
      </c>
      <c r="C178" s="45">
        <v>45919</v>
      </c>
      <c r="D178" s="22">
        <v>0.29444444444444445</v>
      </c>
      <c r="E178" s="8" t="s">
        <v>1053</v>
      </c>
      <c r="F178" s="3" t="s">
        <v>32</v>
      </c>
      <c r="G178" s="3" t="s">
        <v>1054</v>
      </c>
      <c r="H178" s="8" t="s">
        <v>25</v>
      </c>
      <c r="I178" s="8" t="str">
        <f>VLOOKUP(A178,'[1]Data-Upd'!$A:$G,7,FALSE)</f>
        <v>Stores</v>
      </c>
      <c r="J178" s="1" t="s">
        <v>1055</v>
      </c>
      <c r="K178" s="72" t="s">
        <v>1056</v>
      </c>
      <c r="L178" s="43">
        <v>45926.5625</v>
      </c>
      <c r="M178" s="8" t="s">
        <v>1057</v>
      </c>
      <c r="N178" s="8" t="s">
        <v>1058</v>
      </c>
      <c r="O178" s="8" t="s">
        <v>947</v>
      </c>
      <c r="P178" s="1"/>
      <c r="Q178" s="46" t="s">
        <v>1059</v>
      </c>
      <c r="R178" s="46" t="s">
        <v>440</v>
      </c>
      <c r="S178" s="46" t="s">
        <v>440</v>
      </c>
      <c r="T178" s="46">
        <v>0</v>
      </c>
      <c r="U178" s="46" t="s">
        <v>492</v>
      </c>
    </row>
    <row r="179" spans="1:21">
      <c r="A179" s="3" t="s">
        <v>1060</v>
      </c>
      <c r="B179" s="2" t="s">
        <v>1061</v>
      </c>
      <c r="C179" s="21">
        <v>45921</v>
      </c>
      <c r="D179" s="22">
        <v>0.30902777777777779</v>
      </c>
      <c r="E179" s="8" t="s">
        <v>1062</v>
      </c>
      <c r="F179" s="3" t="s">
        <v>32</v>
      </c>
      <c r="G179" s="3" t="s">
        <v>24</v>
      </c>
      <c r="H179" s="8" t="s">
        <v>518</v>
      </c>
      <c r="I179" s="8" t="str">
        <f>VLOOKUP(A179,'[1]Data-Upd'!$A:$G,7,FALSE)</f>
        <v>Finance</v>
      </c>
      <c r="J179" s="1" t="s">
        <v>1063</v>
      </c>
      <c r="K179" s="25" t="s">
        <v>1064</v>
      </c>
      <c r="L179" s="43">
        <v>45922.416666666664</v>
      </c>
      <c r="M179" s="8" t="s">
        <v>1065</v>
      </c>
      <c r="N179" s="8"/>
      <c r="O179" s="8" t="s">
        <v>1066</v>
      </c>
      <c r="P179" s="1" t="s">
        <v>219</v>
      </c>
      <c r="Q179" s="46" t="s">
        <v>1067</v>
      </c>
      <c r="R179" s="46" t="s">
        <v>440</v>
      </c>
      <c r="S179" s="46" t="s">
        <v>430</v>
      </c>
      <c r="T179" s="46">
        <v>0</v>
      </c>
      <c r="U179" s="46" t="s">
        <v>539</v>
      </c>
    </row>
    <row r="180" spans="1:21">
      <c r="A180" s="3" t="s">
        <v>1068</v>
      </c>
      <c r="B180" s="1" t="s">
        <v>1069</v>
      </c>
      <c r="C180" s="21">
        <v>45922</v>
      </c>
      <c r="D180" s="22">
        <v>0.64513888888888893</v>
      </c>
      <c r="E180" s="8" t="s">
        <v>1070</v>
      </c>
      <c r="F180" s="3" t="s">
        <v>32</v>
      </c>
      <c r="G180" s="3" t="s">
        <v>24</v>
      </c>
      <c r="H180" s="8" t="s">
        <v>1071</v>
      </c>
      <c r="I180" s="8" t="str">
        <f>VLOOKUP(A180,'[1]Data-Upd'!$A:$G,7,FALSE)</f>
        <v>Foods</v>
      </c>
      <c r="J180" s="1" t="s">
        <v>1072</v>
      </c>
      <c r="K180" s="46" t="s">
        <v>1073</v>
      </c>
      <c r="L180" s="43">
        <v>45923.541666666664</v>
      </c>
      <c r="M180" s="8" t="s">
        <v>1074</v>
      </c>
      <c r="N180" s="8"/>
      <c r="O180" s="8" t="s">
        <v>734</v>
      </c>
      <c r="P180" s="1"/>
      <c r="Q180" s="46" t="s">
        <v>1075</v>
      </c>
      <c r="R180" s="46" t="s">
        <v>440</v>
      </c>
      <c r="S180" s="46" t="s">
        <v>440</v>
      </c>
      <c r="T180" s="46">
        <v>0</v>
      </c>
      <c r="U180" s="46" t="s">
        <v>492</v>
      </c>
    </row>
    <row r="181" spans="1:21">
      <c r="A181" s="3" t="s">
        <v>1076</v>
      </c>
      <c r="B181" s="1" t="s">
        <v>1077</v>
      </c>
      <c r="C181" s="21">
        <v>45922</v>
      </c>
      <c r="D181" s="22">
        <v>0.7104166666666667</v>
      </c>
      <c r="E181" s="8" t="s">
        <v>1078</v>
      </c>
      <c r="F181" s="3" t="s">
        <v>32</v>
      </c>
      <c r="G181" s="3" t="s">
        <v>24</v>
      </c>
      <c r="H181" s="8" t="s">
        <v>55</v>
      </c>
      <c r="I181" s="8" t="str">
        <f>VLOOKUP(A181,'[1]Data-Upd'!$A:$G,7,FALSE)</f>
        <v>Stores</v>
      </c>
      <c r="J181" s="1" t="s">
        <v>1079</v>
      </c>
      <c r="K181" s="50" t="s">
        <v>1080</v>
      </c>
      <c r="L181" s="43">
        <v>45923.420138888891</v>
      </c>
      <c r="M181" s="8" t="s">
        <v>1081</v>
      </c>
      <c r="N181" s="8"/>
      <c r="O181" s="8" t="s">
        <v>367</v>
      </c>
      <c r="P181" s="1"/>
      <c r="Q181" s="46" t="s">
        <v>1082</v>
      </c>
      <c r="R181" s="46" t="s">
        <v>430</v>
      </c>
      <c r="S181" s="46" t="s">
        <v>430</v>
      </c>
      <c r="T181" s="46">
        <v>0</v>
      </c>
      <c r="U181" s="46" t="s">
        <v>492</v>
      </c>
    </row>
    <row r="182" spans="1:21">
      <c r="A182" s="26" t="s">
        <v>1083</v>
      </c>
      <c r="B182" s="2" t="s">
        <v>1084</v>
      </c>
      <c r="C182" s="45">
        <v>45923</v>
      </c>
      <c r="D182" s="28">
        <v>0.57638888888888884</v>
      </c>
      <c r="E182" s="46" t="s">
        <v>1085</v>
      </c>
      <c r="F182" s="26" t="s">
        <v>32</v>
      </c>
      <c r="G182" s="26" t="s">
        <v>1086</v>
      </c>
      <c r="H182" s="14" t="s">
        <v>1087</v>
      </c>
      <c r="I182" s="8" t="str">
        <f>VLOOKUP(A182,'[1]Data-Upd'!$A:$G,7,FALSE)</f>
        <v>Finance</v>
      </c>
      <c r="J182" s="33" t="s">
        <v>1088</v>
      </c>
      <c r="K182" s="33" t="s">
        <v>1089</v>
      </c>
      <c r="L182" s="8"/>
      <c r="M182" s="8" t="s">
        <v>1090</v>
      </c>
      <c r="N182" s="8"/>
      <c r="O182" s="8" t="s">
        <v>1091</v>
      </c>
      <c r="P182" s="1" t="s">
        <v>213</v>
      </c>
      <c r="Q182" s="46">
        <v>0</v>
      </c>
      <c r="R182" s="46" t="s">
        <v>440</v>
      </c>
      <c r="S182" s="46" t="s">
        <v>440</v>
      </c>
      <c r="T182" s="46">
        <v>0</v>
      </c>
      <c r="U182" s="46" t="s">
        <v>213</v>
      </c>
    </row>
    <row r="183" spans="1:21">
      <c r="A183" s="26" t="s">
        <v>1092</v>
      </c>
      <c r="B183" s="23" t="s">
        <v>1093</v>
      </c>
      <c r="C183" s="45">
        <v>45923</v>
      </c>
      <c r="D183" s="28">
        <v>0.58611111111111114</v>
      </c>
      <c r="E183" s="23" t="s">
        <v>1094</v>
      </c>
      <c r="F183" s="26" t="s">
        <v>32</v>
      </c>
      <c r="G183" s="26" t="s">
        <v>24</v>
      </c>
      <c r="H183" s="14" t="s">
        <v>103</v>
      </c>
      <c r="I183" s="8" t="str">
        <f>VLOOKUP(A183,'[1]Data-Upd'!$A:$G,7,FALSE)</f>
        <v>Supply Chain</v>
      </c>
      <c r="J183" s="50" t="s">
        <v>1095</v>
      </c>
      <c r="K183" s="23" t="s">
        <v>1096</v>
      </c>
      <c r="L183" s="43">
        <v>45924.381944444445</v>
      </c>
      <c r="M183" s="8" t="s">
        <v>537</v>
      </c>
      <c r="N183" s="8"/>
      <c r="O183" s="8" t="s">
        <v>138</v>
      </c>
      <c r="P183" s="1" t="s">
        <v>219</v>
      </c>
      <c r="Q183" s="46" t="s">
        <v>1097</v>
      </c>
      <c r="R183" s="46" t="s">
        <v>440</v>
      </c>
      <c r="S183" s="46" t="s">
        <v>430</v>
      </c>
      <c r="T183" s="46" t="s">
        <v>430</v>
      </c>
      <c r="U183" s="46" t="s">
        <v>449</v>
      </c>
    </row>
    <row r="184" spans="1:21">
      <c r="A184" s="3" t="s">
        <v>1098</v>
      </c>
      <c r="B184" s="1" t="s">
        <v>1099</v>
      </c>
      <c r="C184" s="21">
        <v>45926</v>
      </c>
      <c r="D184" s="51">
        <v>0.3840277777777778</v>
      </c>
      <c r="E184" s="8" t="s">
        <v>1100</v>
      </c>
      <c r="F184" s="3" t="s">
        <v>23</v>
      </c>
      <c r="G184" s="26" t="s">
        <v>1054</v>
      </c>
      <c r="H184" s="8" t="s">
        <v>55</v>
      </c>
      <c r="I184" s="8" t="s">
        <v>55</v>
      </c>
      <c r="J184" s="1" t="s">
        <v>1101</v>
      </c>
      <c r="K184" s="23" t="s">
        <v>1102</v>
      </c>
      <c r="L184" s="49">
        <v>45926.545138888891</v>
      </c>
      <c r="M184" s="8" t="s">
        <v>1103</v>
      </c>
      <c r="N184" s="8"/>
      <c r="O184" s="8" t="s">
        <v>947</v>
      </c>
      <c r="P184" s="1" t="s">
        <v>219</v>
      </c>
      <c r="Q184" s="46" t="s">
        <v>1104</v>
      </c>
      <c r="R184" s="46" t="e">
        <v>#N/A</v>
      </c>
      <c r="S184" s="46" t="e">
        <v>#N/A</v>
      </c>
      <c r="T184" s="46" t="e">
        <v>#N/A</v>
      </c>
      <c r="U184" s="46" t="s">
        <v>492</v>
      </c>
    </row>
    <row r="185" spans="1:21">
      <c r="A185" s="3" t="s">
        <v>1105</v>
      </c>
      <c r="B185" s="1" t="s">
        <v>1106</v>
      </c>
      <c r="C185" s="21">
        <v>45928</v>
      </c>
      <c r="D185" s="51">
        <v>0.18402777777777779</v>
      </c>
      <c r="E185" s="8" t="s">
        <v>1107</v>
      </c>
      <c r="F185" s="3" t="s">
        <v>32</v>
      </c>
      <c r="G185" s="26" t="s">
        <v>1054</v>
      </c>
      <c r="H185" s="8" t="s">
        <v>103</v>
      </c>
      <c r="I185" s="8" t="s">
        <v>103</v>
      </c>
      <c r="J185" s="1" t="s">
        <v>1108</v>
      </c>
      <c r="K185" s="33" t="s">
        <v>1109</v>
      </c>
      <c r="L185" s="43">
        <v>45929.416666666664</v>
      </c>
      <c r="M185" s="8" t="s">
        <v>1110</v>
      </c>
      <c r="N185" s="8"/>
      <c r="O185" s="8" t="s">
        <v>1111</v>
      </c>
      <c r="P185" s="1"/>
      <c r="Q185" s="46" t="s">
        <v>1112</v>
      </c>
      <c r="R185" s="46" t="e">
        <v>#N/A</v>
      </c>
      <c r="S185" s="46" t="e">
        <v>#N/A</v>
      </c>
      <c r="T185" s="46" t="e">
        <v>#N/A</v>
      </c>
      <c r="U185" s="46" t="s">
        <v>609</v>
      </c>
    </row>
    <row r="186" spans="1:21">
      <c r="A186" s="52" t="s">
        <v>1113</v>
      </c>
      <c r="B186" s="1" t="s">
        <v>1114</v>
      </c>
      <c r="C186" s="53">
        <v>45930</v>
      </c>
      <c r="D186" s="54">
        <v>0.38124999999999998</v>
      </c>
      <c r="E186" s="15" t="s">
        <v>1115</v>
      </c>
      <c r="F186" s="52" t="s">
        <v>23</v>
      </c>
      <c r="G186" s="61" t="s">
        <v>1054</v>
      </c>
      <c r="H186" s="15" t="s">
        <v>1116</v>
      </c>
      <c r="I186" s="46" t="s">
        <v>25</v>
      </c>
      <c r="J186" s="20" t="s">
        <v>1117</v>
      </c>
      <c r="K186" s="19" t="s">
        <v>1118</v>
      </c>
      <c r="L186" s="67">
        <v>45930.588194444441</v>
      </c>
      <c r="M186" s="15" t="s">
        <v>1119</v>
      </c>
      <c r="N186" s="46"/>
      <c r="O186" s="15" t="s">
        <v>947</v>
      </c>
      <c r="P186" s="1" t="s">
        <v>219</v>
      </c>
      <c r="Q186" s="46" t="s">
        <v>1120</v>
      </c>
      <c r="R186" s="46"/>
      <c r="S186" s="46"/>
      <c r="T186" s="46"/>
      <c r="U186" s="46" t="s">
        <v>492</v>
      </c>
    </row>
    <row r="187" spans="1:21">
      <c r="A187" s="55" t="s">
        <v>1121</v>
      </c>
      <c r="B187" s="1" t="s">
        <v>1122</v>
      </c>
      <c r="C187" s="56">
        <v>45930</v>
      </c>
      <c r="D187" s="57">
        <v>0.62916666666666665</v>
      </c>
      <c r="E187" s="60" t="s">
        <v>1123</v>
      </c>
      <c r="F187" s="55" t="s">
        <v>32</v>
      </c>
      <c r="G187" s="62" t="s">
        <v>1054</v>
      </c>
      <c r="H187" s="60" t="s">
        <v>55</v>
      </c>
      <c r="I187" s="8" t="s">
        <v>55</v>
      </c>
      <c r="J187" s="63" t="s">
        <v>1124</v>
      </c>
      <c r="K187" s="63" t="s">
        <v>1125</v>
      </c>
      <c r="L187" s="68">
        <v>45930.825694444444</v>
      </c>
      <c r="M187" s="60" t="s">
        <v>1126</v>
      </c>
      <c r="N187" s="46"/>
      <c r="O187" s="60" t="s">
        <v>367</v>
      </c>
      <c r="P187" s="1" t="s">
        <v>219</v>
      </c>
      <c r="Q187" s="46" t="s">
        <v>1127</v>
      </c>
      <c r="R187" s="46" t="s">
        <v>430</v>
      </c>
      <c r="S187" s="46" t="s">
        <v>430</v>
      </c>
      <c r="T187" s="46"/>
      <c r="U187" s="46" t="s">
        <v>431</v>
      </c>
    </row>
    <row r="188" spans="1:21">
      <c r="A188" s="52" t="s">
        <v>1128</v>
      </c>
      <c r="B188" s="1" t="s">
        <v>1129</v>
      </c>
      <c r="C188" s="58">
        <v>45931</v>
      </c>
      <c r="D188" s="54">
        <v>0.29166666666666669</v>
      </c>
      <c r="E188" s="15" t="s">
        <v>1130</v>
      </c>
      <c r="F188" s="52" t="s">
        <v>23</v>
      </c>
      <c r="G188" s="61" t="s">
        <v>1054</v>
      </c>
      <c r="H188" s="15" t="s">
        <v>1131</v>
      </c>
      <c r="I188" s="8" t="s">
        <v>103</v>
      </c>
      <c r="J188" s="19" t="s">
        <v>1132</v>
      </c>
      <c r="K188" s="64" t="s">
        <v>1133</v>
      </c>
      <c r="L188" s="67">
        <v>45931.75</v>
      </c>
      <c r="M188" s="15" t="s">
        <v>1134</v>
      </c>
      <c r="N188" s="46"/>
      <c r="O188" s="15" t="s">
        <v>765</v>
      </c>
      <c r="P188" s="1" t="s">
        <v>219</v>
      </c>
      <c r="Q188" s="46" t="s">
        <v>1135</v>
      </c>
      <c r="R188" s="46" t="s">
        <v>430</v>
      </c>
      <c r="S188" s="46" t="s">
        <v>430</v>
      </c>
      <c r="T188" s="46"/>
      <c r="U188" s="46" t="s">
        <v>431</v>
      </c>
    </row>
    <row r="189" spans="1:21">
      <c r="A189" s="55" t="s">
        <v>1136</v>
      </c>
      <c r="B189" s="1" t="s">
        <v>1137</v>
      </c>
      <c r="C189" s="56">
        <v>45931</v>
      </c>
      <c r="D189" s="57">
        <v>0.48819444444444443</v>
      </c>
      <c r="E189" s="60" t="s">
        <v>1138</v>
      </c>
      <c r="F189" s="55" t="s">
        <v>32</v>
      </c>
      <c r="G189" s="55" t="s">
        <v>1054</v>
      </c>
      <c r="H189" s="60" t="s">
        <v>55</v>
      </c>
      <c r="I189" s="8" t="s">
        <v>55</v>
      </c>
      <c r="J189" s="65" t="s">
        <v>1139</v>
      </c>
      <c r="K189" s="66" t="s">
        <v>1140</v>
      </c>
      <c r="L189" s="68">
        <v>45931.5</v>
      </c>
      <c r="M189" s="60" t="s">
        <v>550</v>
      </c>
      <c r="N189" s="46"/>
      <c r="O189" s="60" t="s">
        <v>595</v>
      </c>
      <c r="P189" s="1" t="s">
        <v>219</v>
      </c>
      <c r="Q189" s="46" t="s">
        <v>1141</v>
      </c>
      <c r="R189" s="46" t="s">
        <v>440</v>
      </c>
      <c r="S189" s="46" t="s">
        <v>430</v>
      </c>
      <c r="T189" s="46" t="s">
        <v>440</v>
      </c>
      <c r="U189" s="46" t="s">
        <v>1142</v>
      </c>
    </row>
    <row r="190" spans="1:21">
      <c r="A190" s="52" t="s">
        <v>1143</v>
      </c>
      <c r="B190" s="1" t="s">
        <v>1144</v>
      </c>
      <c r="C190" s="53">
        <v>45932</v>
      </c>
      <c r="D190" s="54">
        <v>0.15694444444444444</v>
      </c>
      <c r="E190" s="64" t="s">
        <v>1145</v>
      </c>
      <c r="F190" s="52" t="s">
        <v>23</v>
      </c>
      <c r="G190" s="52" t="s">
        <v>1054</v>
      </c>
      <c r="H190" s="15" t="s">
        <v>1071</v>
      </c>
      <c r="I190" s="8" t="s">
        <v>731</v>
      </c>
      <c r="J190" s="20" t="s">
        <v>1146</v>
      </c>
      <c r="K190" s="64" t="s">
        <v>1147</v>
      </c>
      <c r="L190" s="59"/>
      <c r="M190" s="15" t="s">
        <v>1148</v>
      </c>
      <c r="N190" s="46"/>
      <c r="O190" s="15" t="s">
        <v>1149</v>
      </c>
      <c r="P190" s="1" t="s">
        <v>219</v>
      </c>
      <c r="Q190" s="46" t="s">
        <v>1150</v>
      </c>
      <c r="R190" s="46" t="s">
        <v>440</v>
      </c>
      <c r="S190" s="46" t="s">
        <v>430</v>
      </c>
      <c r="T190" s="46" t="s">
        <v>440</v>
      </c>
      <c r="U190" s="46" t="s">
        <v>492</v>
      </c>
    </row>
    <row r="191" spans="1:21" ht="27">
      <c r="A191" s="52" t="s">
        <v>1151</v>
      </c>
      <c r="B191" s="61" t="s">
        <v>1152</v>
      </c>
      <c r="C191" s="53">
        <v>45933</v>
      </c>
      <c r="D191" s="54">
        <v>0.43472222222222223</v>
      </c>
      <c r="E191" s="15" t="s">
        <v>1153</v>
      </c>
      <c r="F191" s="13" t="s">
        <v>23</v>
      </c>
      <c r="G191" s="13" t="s">
        <v>1054</v>
      </c>
      <c r="H191" s="15" t="s">
        <v>103</v>
      </c>
      <c r="I191" s="8" t="s">
        <v>103</v>
      </c>
      <c r="J191" s="69" t="s">
        <v>1154</v>
      </c>
      <c r="K191" s="69" t="s">
        <v>1155</v>
      </c>
      <c r="L191" s="70">
        <v>45933.666666666664</v>
      </c>
      <c r="M191" s="59" t="s">
        <v>1156</v>
      </c>
      <c r="N191" s="46"/>
      <c r="O191" s="59" t="s">
        <v>765</v>
      </c>
      <c r="P191" s="1" t="s">
        <v>219</v>
      </c>
      <c r="Q191" s="46" t="s">
        <v>1157</v>
      </c>
      <c r="R191" s="46" t="s">
        <v>440</v>
      </c>
      <c r="S191" s="46" t="s">
        <v>430</v>
      </c>
      <c r="T191" s="46" t="s">
        <v>440</v>
      </c>
      <c r="U191" s="46" t="s">
        <v>449</v>
      </c>
    </row>
    <row r="192" spans="1:21" ht="27">
      <c r="A192" s="52" t="s">
        <v>1158</v>
      </c>
      <c r="B192" s="52" t="s">
        <v>1159</v>
      </c>
      <c r="C192" s="53">
        <v>45936</v>
      </c>
      <c r="D192" s="54">
        <v>0.41388888888888886</v>
      </c>
      <c r="E192" s="15" t="s">
        <v>1160</v>
      </c>
      <c r="F192" s="61" t="s">
        <v>32</v>
      </c>
      <c r="G192" s="52" t="s">
        <v>1161</v>
      </c>
      <c r="H192" s="59" t="s">
        <v>731</v>
      </c>
      <c r="I192" s="8" t="s">
        <v>731</v>
      </c>
      <c r="J192" s="20" t="s">
        <v>1162</v>
      </c>
      <c r="K192" s="19" t="s">
        <v>1163</v>
      </c>
      <c r="L192" s="46"/>
      <c r="M192" s="46" t="s">
        <v>601</v>
      </c>
      <c r="N192" s="46"/>
      <c r="O192" s="59" t="s">
        <v>1164</v>
      </c>
      <c r="P192" s="1" t="s">
        <v>219</v>
      </c>
      <c r="Q192" s="46"/>
      <c r="R192" s="46" t="s">
        <v>440</v>
      </c>
      <c r="S192" s="46" t="s">
        <v>440</v>
      </c>
      <c r="T192" s="46" t="s">
        <v>440</v>
      </c>
      <c r="U192" s="46" t="s">
        <v>457</v>
      </c>
    </row>
  </sheetData>
  <autoFilter ref="A1:U192" xr:uid="{25998A9C-C4D1-4493-B8AA-E6DBD03A49FC}"/>
  <conditionalFormatting sqref="F2:F190">
    <cfRule type="cellIs" dxfId="49" priority="31" operator="equal">
      <formula>"P4"</formula>
    </cfRule>
    <cfRule type="cellIs" dxfId="48" priority="32" operator="equal">
      <formula>"P3"</formula>
    </cfRule>
    <cfRule type="cellIs" dxfId="47" priority="33" operator="equal">
      <formula>"P1"</formula>
    </cfRule>
    <cfRule type="cellIs" dxfId="46" priority="34" operator="equal">
      <formula>"P2"</formula>
    </cfRule>
  </conditionalFormatting>
  <conditionalFormatting sqref="G2:G185">
    <cfRule type="expression" dxfId="45" priority="56">
      <formula>AND(UPPER(TRIM($K2))="Resolved",$O2&lt;&gt;"",INT($O2)&lt;=TODAY()-5)</formula>
    </cfRule>
    <cfRule type="cellIs" dxfId="44" priority="57" operator="equal">
      <formula>"Closed"</formula>
    </cfRule>
    <cfRule type="cellIs" dxfId="43" priority="60" operator="equal">
      <formula>"Cancelled"</formula>
    </cfRule>
    <cfRule type="cellIs" dxfId="42" priority="61" operator="equal">
      <formula>"Prioritisation Required"</formula>
    </cfRule>
    <cfRule type="cellIs" dxfId="41" priority="62" operator="equal">
      <formula>"In Progress"</formula>
    </cfRule>
    <cfRule type="cellIs" dxfId="40" priority="63" operator="equal">
      <formula>"Being Monitored"</formula>
    </cfRule>
    <cfRule type="cellIs" dxfId="39" priority="64" operator="equal">
      <formula>"Resolved"</formula>
    </cfRule>
  </conditionalFormatting>
  <conditionalFormatting sqref="G186:G190">
    <cfRule type="expression" dxfId="38" priority="24">
      <formula>AND(UPPER(TRIM($J186))="Resolved",$N186&lt;&gt;"",INT($N186)&lt;=TODAY()-5)</formula>
    </cfRule>
    <cfRule type="cellIs" dxfId="37" priority="25" operator="equal">
      <formula>"Closed"</formula>
    </cfRule>
    <cfRule type="cellIs" dxfId="36" priority="26" operator="equal">
      <formula>"Cancelled"</formula>
    </cfRule>
    <cfRule type="cellIs" dxfId="35" priority="27" operator="equal">
      <formula>"Prioritisation Required"</formula>
    </cfRule>
    <cfRule type="cellIs" dxfId="34" priority="28" operator="equal">
      <formula>"In Progress"</formula>
    </cfRule>
    <cfRule type="cellIs" dxfId="33" priority="29" operator="equal">
      <formula>"Being Monitored"</formula>
    </cfRule>
    <cfRule type="cellIs" dxfId="32" priority="30" operator="equal">
      <formula>"Resolved"</formula>
    </cfRule>
  </conditionalFormatting>
  <conditionalFormatting sqref="H183">
    <cfRule type="cellIs" dxfId="31" priority="49" operator="equal">
      <formula>"Closed"</formula>
    </cfRule>
    <cfRule type="cellIs" dxfId="30" priority="50" operator="equal">
      <formula>"Cancelled"</formula>
    </cfRule>
    <cfRule type="cellIs" dxfId="29" priority="51" operator="equal">
      <formula>"Prioritisation Required"</formula>
    </cfRule>
    <cfRule type="cellIs" dxfId="28" priority="52" operator="equal">
      <formula>"In Progress"</formula>
    </cfRule>
    <cfRule type="cellIs" dxfId="27" priority="53" operator="equal">
      <formula>"Being Monitored"</formula>
    </cfRule>
    <cfRule type="expression" dxfId="26" priority="54">
      <formula>AND(UPPER(TRIM($L183))="Resolved",$O183&lt;&gt;"",INT($O183)&lt;=TODAY()-5)</formula>
    </cfRule>
    <cfRule type="cellIs" dxfId="25" priority="55" operator="equal">
      <formula>"Resolved"</formula>
    </cfRule>
  </conditionalFormatting>
  <conditionalFormatting sqref="L92">
    <cfRule type="notContainsBlanks" dxfId="24" priority="47">
      <formula>LEN(TRIM(Q92))&gt;0</formula>
    </cfRule>
  </conditionalFormatting>
  <conditionalFormatting sqref="L141:L183">
    <cfRule type="cellIs" dxfId="23" priority="36" operator="equal">
      <formula>"30/12/1899 00:00:00"</formula>
    </cfRule>
  </conditionalFormatting>
  <conditionalFormatting sqref="L185:L189">
    <cfRule type="cellIs" dxfId="22" priority="23" operator="equal">
      <formula>"30/12/1899 00:00:00"</formula>
    </cfRule>
  </conditionalFormatting>
  <conditionalFormatting sqref="F191">
    <cfRule type="cellIs" dxfId="21" priority="19" operator="equal">
      <formula>"P4"</formula>
    </cfRule>
    <cfRule type="cellIs" dxfId="20" priority="20" operator="equal">
      <formula>"P3"</formula>
    </cfRule>
  </conditionalFormatting>
  <conditionalFormatting sqref="F191">
    <cfRule type="cellIs" dxfId="19" priority="21" operator="equal">
      <formula>"P1"</formula>
    </cfRule>
    <cfRule type="cellIs" dxfId="18" priority="22" operator="equal">
      <formula>"P2"</formula>
    </cfRule>
  </conditionalFormatting>
  <conditionalFormatting sqref="G191">
    <cfRule type="cellIs" dxfId="17" priority="13" operator="equal">
      <formula>"Closed"</formula>
    </cfRule>
    <cfRule type="cellIs" dxfId="16" priority="14" operator="equal">
      <formula>"Cancelled"</formula>
    </cfRule>
    <cfRule type="cellIs" dxfId="15" priority="15" operator="equal">
      <formula>"Prioritisation Required"</formula>
    </cfRule>
    <cfRule type="cellIs" dxfId="14" priority="16" operator="equal">
      <formula>"In Progress"</formula>
    </cfRule>
    <cfRule type="cellIs" dxfId="13" priority="17" operator="equal">
      <formula>"Being Monitored"</formula>
    </cfRule>
  </conditionalFormatting>
  <conditionalFormatting sqref="G191">
    <cfRule type="expression" dxfId="12" priority="65">
      <formula>AND(UPPER(TRIM(#REF!))="Resolved",$P191&lt;&gt;"",INT($P191)&lt;=TODAY()-5)</formula>
    </cfRule>
    <cfRule type="cellIs" dxfId="11" priority="66" operator="equal">
      <formula>"Resolved"</formula>
    </cfRule>
  </conditionalFormatting>
  <conditionalFormatting sqref="F192">
    <cfRule type="cellIs" dxfId="10" priority="8" operator="equal">
      <formula>"P4"</formula>
    </cfRule>
    <cfRule type="cellIs" dxfId="9" priority="9" operator="equal">
      <formula>"P3"</formula>
    </cfRule>
  </conditionalFormatting>
  <conditionalFormatting sqref="F192">
    <cfRule type="cellIs" dxfId="8" priority="10" operator="equal">
      <formula>"P1"</formula>
    </cfRule>
    <cfRule type="cellIs" dxfId="7" priority="11" operator="equal">
      <formula>"P2"</formula>
    </cfRule>
  </conditionalFormatting>
  <conditionalFormatting sqref="G192">
    <cfRule type="cellIs" dxfId="6" priority="2" operator="equal">
      <formula>"Closed"</formula>
    </cfRule>
    <cfRule type="cellIs" dxfId="5" priority="3" operator="equal">
      <formula>"Cancelled"</formula>
    </cfRule>
    <cfRule type="cellIs" dxfId="4" priority="4" operator="equal">
      <formula>"Prioritisation Required"</formula>
    </cfRule>
    <cfRule type="cellIs" dxfId="3" priority="5" operator="equal">
      <formula>"In Progress"</formula>
    </cfRule>
    <cfRule type="cellIs" dxfId="2" priority="6" operator="equal">
      <formula>"Being Monitored"</formula>
    </cfRule>
  </conditionalFormatting>
  <conditionalFormatting sqref="G192">
    <cfRule type="expression" dxfId="1" priority="1">
      <formula>AND(UPPER(TRIM($J192))="Resolved",$P192&lt;&gt;"",INT($P192)&lt;=TODAY()-5)</formula>
    </cfRule>
    <cfRule type="cellIs" dxfId="0" priority="7" operator="equal">
      <formula>"Resolved"</formula>
    </cfRule>
  </conditionalFormatting>
  <dataValidations count="6">
    <dataValidation allowBlank="1" showDropDown="1" sqref="A141:B150 K2:K123 A2:B139" xr:uid="{1E74689D-2CC0-4A92-AADC-34E3461240E5}"/>
    <dataValidation type="custom" allowBlank="1" showDropDown="1" sqref="L185:L189 C141:C150 L141:L183 L93:L139 C2:C139 L2:L91" xr:uid="{F244BB4C-DD18-44F2-B8C3-C6FDE10AB913}">
      <formula1>OR(NOT(ISERROR(DATEVALUE(C2))), AND(ISNUMBER(C2), LEFT(CELL("format", C2))="D"))</formula1>
    </dataValidation>
    <dataValidation type="list" allowBlank="1" sqref="G2:G192 H183" xr:uid="{BBA04CAE-24D6-4FDD-A181-B88AB91D84C2}">
      <formula1>"Closed,Resolved,Prioritisation Required,Being Monitored,In Progress,Cancelled"</formula1>
    </dataValidation>
    <dataValidation allowBlank="1" showInputMessage="1" showErrorMessage="1" sqref="L92" xr:uid="{832555A1-44CE-424F-AB85-BEF47156C419}"/>
    <dataValidation type="custom" allowBlank="1" showDropDown="1" sqref="D2:D186 D189:D192" xr:uid="{73A5E08C-D7BB-4075-BD7F-4753B9CC4547}">
      <formula1>OR(TIMEVALUE(TEXT(D2, "hh:mm:ss"))=D2, AND(ISNUMBER(D2), LEFT(CELL("format", D2))="D"))</formula1>
    </dataValidation>
    <dataValidation type="list" allowBlank="1" sqref="F2:F192" xr:uid="{EE951B4D-AFE9-4945-BC5A-B13F49F2B791}">
      <formula1>"P4,P1,P2,P3"</formula1>
    </dataValidation>
  </dataValidations>
  <hyperlinks>
    <hyperlink ref="J62" r:id="rId1" xr:uid="{13D65530-2BD0-4DBC-BDB2-97C3A417B76C}"/>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Govindan, Shankar</dc:creator>
  <cp:keywords/>
  <dc:description/>
  <cp:lastModifiedBy/>
  <cp:revision/>
  <dcterms:created xsi:type="dcterms:W3CDTF">2025-09-30T07:20:24Z</dcterms:created>
  <dcterms:modified xsi:type="dcterms:W3CDTF">2025-10-10T09:08:11Z</dcterms:modified>
  <cp:category/>
  <cp:contentStatus/>
</cp:coreProperties>
</file>